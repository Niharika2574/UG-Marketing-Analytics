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harika C\Downloads\"/>
    </mc:Choice>
  </mc:AlternateContent>
  <xr:revisionPtr revIDLastSave="0" documentId="13_ncr:1_{F076242F-9EC5-4352-9232-079C4D3E3CF9}" xr6:coauthVersionLast="47" xr6:coauthVersionMax="47" xr10:uidLastSave="{00000000-0000-0000-0000-000000000000}"/>
  <bookViews>
    <workbookView xWindow="-110" yWindow="-110" windowWidth="19420" windowHeight="11500" xr2:uid="{6D0E570E-75D2-492F-8640-FC45BCE1C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38" i="1"/>
  <c r="E39" i="1"/>
  <c r="E40" i="1"/>
  <c r="E41" i="1"/>
  <c r="E42" i="1"/>
  <c r="G42" i="1" s="1"/>
  <c r="E43" i="1"/>
  <c r="E36" i="1"/>
  <c r="D36" i="1"/>
  <c r="D37" i="1"/>
  <c r="D38" i="1"/>
  <c r="D39" i="1"/>
  <c r="D40" i="1"/>
  <c r="D41" i="1"/>
  <c r="G41" i="1" s="1"/>
  <c r="D42" i="1"/>
  <c r="D43" i="1"/>
  <c r="G43" i="1" s="1"/>
  <c r="G40" i="1"/>
  <c r="G39" i="1"/>
  <c r="G38" i="1"/>
  <c r="G37" i="1"/>
  <c r="C33" i="1"/>
  <c r="B33" i="1"/>
  <c r="C32" i="1"/>
  <c r="E20" i="1"/>
  <c r="B32" i="1"/>
  <c r="B16" i="1"/>
  <c r="E21" i="1"/>
  <c r="E22" i="1"/>
  <c r="E23" i="1"/>
  <c r="E24" i="1"/>
  <c r="G24" i="1" s="1"/>
  <c r="E25" i="1"/>
  <c r="G25" i="1" s="1"/>
  <c r="E26" i="1"/>
  <c r="E27" i="1"/>
  <c r="D21" i="1"/>
  <c r="D22" i="1"/>
  <c r="D23" i="1"/>
  <c r="G23" i="1" s="1"/>
  <c r="D24" i="1"/>
  <c r="D25" i="1"/>
  <c r="D26" i="1"/>
  <c r="G26" i="1" s="1"/>
  <c r="D27" i="1"/>
  <c r="G27" i="1" s="1"/>
  <c r="D20" i="1"/>
  <c r="G22" i="1"/>
  <c r="G21" i="1"/>
  <c r="G20" i="1"/>
  <c r="C17" i="1"/>
  <c r="B17" i="1"/>
  <c r="C16" i="1"/>
  <c r="G11" i="1"/>
  <c r="G4" i="1"/>
  <c r="G5" i="1"/>
  <c r="G6" i="1"/>
  <c r="G7" i="1"/>
  <c r="G8" i="1"/>
  <c r="G9" i="1"/>
  <c r="G10" i="1"/>
  <c r="G3" i="1"/>
  <c r="E4" i="1"/>
  <c r="E5" i="1"/>
  <c r="E6" i="1"/>
  <c r="E7" i="1"/>
  <c r="E8" i="1"/>
  <c r="E9" i="1"/>
  <c r="E10" i="1"/>
  <c r="E3" i="1"/>
  <c r="D3" i="1"/>
  <c r="D4" i="1"/>
  <c r="D5" i="1"/>
  <c r="D6" i="1"/>
  <c r="D7" i="1"/>
  <c r="D8" i="1"/>
  <c r="D9" i="1"/>
  <c r="D10" i="1"/>
  <c r="G36" i="1" l="1"/>
  <c r="G44" i="1" s="1"/>
  <c r="G28" i="1"/>
</calcChain>
</file>

<file path=xl/sharedStrings.xml><?xml version="1.0" encoding="utf-8"?>
<sst xmlns="http://schemas.openxmlformats.org/spreadsheetml/2006/main" count="80" uniqueCount="29">
  <si>
    <t>Customer</t>
  </si>
  <si>
    <t>Spend</t>
  </si>
  <si>
    <t>Visit</t>
  </si>
  <si>
    <t>C1</t>
  </si>
  <si>
    <t>C2</t>
  </si>
  <si>
    <t>C3</t>
  </si>
  <si>
    <t>C4</t>
  </si>
  <si>
    <t>C5</t>
  </si>
  <si>
    <t>C6</t>
  </si>
  <si>
    <t>C7</t>
  </si>
  <si>
    <t>C8</t>
  </si>
  <si>
    <t>Visits per Year</t>
  </si>
  <si>
    <t>Distance to Cluster 1</t>
  </si>
  <si>
    <t>Distance to Cluster 2</t>
  </si>
  <si>
    <t>Minimum Distance</t>
  </si>
  <si>
    <t>K=2</t>
  </si>
  <si>
    <t>Nearest</t>
  </si>
  <si>
    <t>Centroids</t>
  </si>
  <si>
    <t>Iteration 1</t>
  </si>
  <si>
    <t>Cluster 1</t>
  </si>
  <si>
    <t>Cluster2</t>
  </si>
  <si>
    <t>WCSS (Within Cluster Sum of Squared Min Distances)</t>
  </si>
  <si>
    <t>Visits</t>
  </si>
  <si>
    <t>Members</t>
  </si>
  <si>
    <t>Cluster 2</t>
  </si>
  <si>
    <t>Recomputed Centroids</t>
  </si>
  <si>
    <t>Iteration 2</t>
  </si>
  <si>
    <t>Iteration 3</t>
  </si>
  <si>
    <t>Elbow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</si>
</sst>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" fontId="0" fillId="0" borderId="0" xfId="0" applyNumberFormat="1"/>
    <xf numFmtId="0" fontId="4" fillId="0" borderId="0" xfId="0" applyFont="1"/>
    <xf numFmtId="0" fontId="1" fillId="2" borderId="0" xfId="0" applyFont="1" applyFill="1"/>
    <xf numFmtId="2" fontId="2" fillId="3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Elbow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Sheet1!$A$49:$A$51</c:f>
              <c:numCache>
                <c:formatCode>General</c:formatCode>
                <c:ptCount val="3"/>
                <c:pt idx="0">
                  <c:v>8420</c:v>
                </c:pt>
                <c:pt idx="1">
                  <c:v>1181.56</c:v>
                </c:pt>
                <c:pt idx="2">
                  <c:v>155.5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49-4D1C-83D7-74ABD5137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062080"/>
        <c:axId val="2012098704"/>
      </c:scatterChart>
      <c:valAx>
        <c:axId val="205206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098704"/>
        <c:crosses val="autoZero"/>
        <c:crossBetween val="midCat"/>
      </c:valAx>
      <c:valAx>
        <c:axId val="20120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6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ustomXml" Target="../ink/ink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921</xdr:colOff>
      <xdr:row>48</xdr:row>
      <xdr:rowOff>13436</xdr:rowOff>
    </xdr:from>
    <xdr:to>
      <xdr:col>5</xdr:col>
      <xdr:colOff>1094225</xdr:colOff>
      <xdr:row>62</xdr:row>
      <xdr:rowOff>179825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799E85-2B77-43FF-14C1-AE2CD187D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653096</xdr:colOff>
      <xdr:row>51</xdr:row>
      <xdr:rowOff>45900</xdr:rowOff>
    </xdr:from>
    <xdr:to>
      <xdr:col>5</xdr:col>
      <xdr:colOff>316564</xdr:colOff>
      <xdr:row>61</xdr:row>
      <xdr:rowOff>17921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59493DC-8354-84F4-B3A7-C192F8266142}"/>
                </a:ext>
              </a:extLst>
            </xdr14:cNvPr>
            <xdr14:cNvContentPartPr/>
          </xdr14:nvContentPartPr>
          <xdr14:nvPr macro=""/>
          <xdr14:xfrm>
            <a:off x="3524400" y="9432857"/>
            <a:ext cx="2240280" cy="18126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59493DC-8354-84F4-B3A7-C192F826614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518280" y="9426737"/>
              <a:ext cx="2252520" cy="1824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8T05:32:27.1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24575,'20'37'0,"3"-1"0,45 58 0,-17-28 0,161 248 0,-70-101 0,187 327 0,-216-321 0,-106-207 0,0-1 0,1 1 0,11 10 0,13 19 0,-11-10 0,2 0 0,1-2 0,47 44 0,20 29 0,-5-6 0,-7-21 0,4 3 0,123 149 0,120 254 0,-270-379 0,32 51 0,-19-35 0,-48-79 0,1-1 0,43 54 0,-55-80 0,-1 1 0,0 1 0,-1-1 0,-1 1 0,0 0 0,5 18 0,8 11 0,3 0 0,1-2 0,30 41 0,-35-54 0,51 68 0,22 33 0,-52-64 0,54 67 0,-86-123 0,-2-1 0,1 2 0,-2-1 0,1 1 0,-1 0 0,0 0 0,-1 1 0,-1-1 0,6 22 0,-9-29 0,1 1 0,1-1 0,-1 0 0,0 0 0,1 0 0,-1 0 0,1 0 0,0 0 0,0 0 0,0 0 0,1-1 0,3 5 0,38 24 0,-16-12 0,-12-9 0,1 0 0,0-1 0,0 0 0,1-2 0,26 9 0,-18-7 0,-14-4 0,-1 0 0,20 13 0,-23-12 0,0-1 0,0-1 0,0 0 0,1 0 0,0 0 0,0-1 0,9 2 0,20 3 0,0 3 0,-1 0 0,41 20 0,-65-26 0,-1-1 0,1-1 0,-1 0 0,1-1 0,20 1 0,69-3 0,-54-2 0,14 1 0,104-14 0,-95 7 0,0 3 0,103 6 0,-58 1 0,-93-3 0,0 2 0,-1 0 0,1 2 0,0 1 0,42 12 0,87 31 0,-119-38 0,64 28 0,-67-24 0,46 14 0,387 95 0,-211-69 0,-201-43 0,-25-4 0,47 4 0,-45-8 0,44 11 0,-19-2 0,-2 0 0,-34-7 0,0 0 0,26 2 0,-38-6-62,0 0 0,0 1 0,0-1 0,0 1 0,0 1 0,0-1 0,-1 1 0,1 0 0,0 0 0,-1 0 0,1 0 0,-1 1-1,0 0 1,0 0 0,0 0 0,0 0 0,-1 1 0,1 0 0,-1-1 0,0 1 0,5 9 0,3 3-6764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A660-8E00-4A44-9DD0-CA5120F017D6}">
  <dimension ref="A1:K51"/>
  <sheetViews>
    <sheetView tabSelected="1" zoomScale="69" workbookViewId="0">
      <selection activeCell="L10" sqref="L10"/>
    </sheetView>
  </sheetViews>
  <sheetFormatPr defaultRowHeight="14.5" x14ac:dyDescent="0.35"/>
  <cols>
    <col min="1" max="1" width="20.36328125" bestFit="1" customWidth="1"/>
    <col min="2" max="2" width="7.7265625" bestFit="1" customWidth="1"/>
    <col min="3" max="3" width="12.90625" bestFit="1" customWidth="1"/>
    <col min="4" max="4" width="18.453125" bestFit="1" customWidth="1"/>
    <col min="5" max="5" width="18.453125" customWidth="1"/>
    <col min="6" max="6" width="44.7265625" bestFit="1" customWidth="1"/>
    <col min="7" max="7" width="16.81640625" bestFit="1" customWidth="1"/>
    <col min="8" max="8" width="18.453125" customWidth="1"/>
    <col min="9" max="9" width="20.36328125" bestFit="1" customWidth="1"/>
    <col min="10" max="10" width="6.26953125" bestFit="1" customWidth="1"/>
    <col min="11" max="11" width="6.08984375" customWidth="1"/>
    <col min="12" max="14" width="12.7265625" bestFit="1" customWidth="1"/>
  </cols>
  <sheetData>
    <row r="1" spans="1:11" s="3" customFormat="1" x14ac:dyDescent="0.35">
      <c r="A1" s="3" t="s">
        <v>15</v>
      </c>
      <c r="I1" s="3" t="s">
        <v>18</v>
      </c>
    </row>
    <row r="2" spans="1:11" x14ac:dyDescent="0.35">
      <c r="A2" s="4" t="s">
        <v>0</v>
      </c>
      <c r="B2" s="4" t="s">
        <v>1</v>
      </c>
      <c r="C2" s="4" t="s">
        <v>11</v>
      </c>
      <c r="D2" s="4" t="s">
        <v>12</v>
      </c>
      <c r="E2" s="4" t="s">
        <v>13</v>
      </c>
      <c r="F2" s="4" t="s">
        <v>16</v>
      </c>
      <c r="G2" s="4" t="s">
        <v>14</v>
      </c>
      <c r="H2" s="1"/>
      <c r="I2" s="4" t="s">
        <v>17</v>
      </c>
      <c r="J2" s="4" t="s">
        <v>1</v>
      </c>
      <c r="K2" s="4" t="s">
        <v>2</v>
      </c>
    </row>
    <row r="3" spans="1:11" x14ac:dyDescent="0.35">
      <c r="A3" t="s">
        <v>3</v>
      </c>
      <c r="B3">
        <v>12</v>
      </c>
      <c r="C3">
        <v>4</v>
      </c>
      <c r="D3" s="2">
        <f>SQRT((B3-$J$3)^2+(C3-$K$3)^2)</f>
        <v>0</v>
      </c>
      <c r="E3" s="2">
        <f>SQRT((B3-$J$4)^2+(C3-$K$4)^2)</f>
        <v>6.7082039324993694</v>
      </c>
      <c r="F3">
        <v>1</v>
      </c>
      <c r="G3" s="2">
        <f>MIN(D3:E3)</f>
        <v>0</v>
      </c>
      <c r="I3" s="4" t="s">
        <v>19</v>
      </c>
      <c r="J3">
        <v>12</v>
      </c>
      <c r="K3">
        <v>4</v>
      </c>
    </row>
    <row r="4" spans="1:11" x14ac:dyDescent="0.35">
      <c r="A4" t="s">
        <v>4</v>
      </c>
      <c r="B4">
        <v>15</v>
      </c>
      <c r="C4">
        <v>6</v>
      </c>
      <c r="D4" s="2">
        <f t="shared" ref="D4:D10" si="0">SQRT((B4-$J$3)^2+(C4-$K$3)^2)</f>
        <v>3.6055512754639891</v>
      </c>
      <c r="E4" s="2">
        <f t="shared" ref="E4:E10" si="1">SQRT((B4-$J$4)^2+(C4-$K$4)^2)</f>
        <v>3.1622776601683795</v>
      </c>
      <c r="F4">
        <v>2</v>
      </c>
      <c r="G4" s="2">
        <f t="shared" ref="G4:G10" si="2">MIN(D4:E4)</f>
        <v>3.1622776601683795</v>
      </c>
      <c r="I4" s="4" t="s">
        <v>20</v>
      </c>
      <c r="J4">
        <v>18</v>
      </c>
      <c r="K4">
        <v>7</v>
      </c>
    </row>
    <row r="5" spans="1:11" x14ac:dyDescent="0.35">
      <c r="A5" t="s">
        <v>5</v>
      </c>
      <c r="B5">
        <v>10</v>
      </c>
      <c r="C5">
        <v>3</v>
      </c>
      <c r="D5" s="2">
        <f t="shared" si="0"/>
        <v>2.2360679774997898</v>
      </c>
      <c r="E5" s="2">
        <f t="shared" si="1"/>
        <v>8.9442719099991592</v>
      </c>
      <c r="F5">
        <v>1</v>
      </c>
      <c r="G5" s="2">
        <f t="shared" si="2"/>
        <v>2.2360679774997898</v>
      </c>
    </row>
    <row r="6" spans="1:11" x14ac:dyDescent="0.35">
      <c r="A6" t="s">
        <v>6</v>
      </c>
      <c r="B6">
        <v>18</v>
      </c>
      <c r="C6">
        <v>7</v>
      </c>
      <c r="D6" s="2">
        <f t="shared" si="0"/>
        <v>6.7082039324993694</v>
      </c>
      <c r="E6" s="2">
        <f t="shared" si="1"/>
        <v>0</v>
      </c>
      <c r="F6">
        <v>2</v>
      </c>
      <c r="G6" s="2">
        <f t="shared" si="2"/>
        <v>0</v>
      </c>
    </row>
    <row r="7" spans="1:11" x14ac:dyDescent="0.35">
      <c r="A7" t="s">
        <v>7</v>
      </c>
      <c r="B7">
        <v>55</v>
      </c>
      <c r="C7">
        <v>22</v>
      </c>
      <c r="D7" s="2">
        <f t="shared" si="0"/>
        <v>46.61544808322666</v>
      </c>
      <c r="E7" s="2">
        <f t="shared" si="1"/>
        <v>39.924929555354261</v>
      </c>
      <c r="F7">
        <v>2</v>
      </c>
      <c r="G7" s="2">
        <f t="shared" si="2"/>
        <v>39.924929555354261</v>
      </c>
    </row>
    <row r="8" spans="1:11" x14ac:dyDescent="0.35">
      <c r="A8" t="s">
        <v>8</v>
      </c>
      <c r="B8">
        <v>62</v>
      </c>
      <c r="C8">
        <v>26</v>
      </c>
      <c r="D8" s="2">
        <f t="shared" si="0"/>
        <v>54.626001134990652</v>
      </c>
      <c r="E8" s="2">
        <f t="shared" si="1"/>
        <v>47.927027865287037</v>
      </c>
      <c r="F8">
        <v>2</v>
      </c>
      <c r="G8" s="2">
        <f t="shared" si="2"/>
        <v>47.927027865287037</v>
      </c>
    </row>
    <row r="9" spans="1:11" x14ac:dyDescent="0.35">
      <c r="A9" t="s">
        <v>9</v>
      </c>
      <c r="B9">
        <v>58</v>
      </c>
      <c r="C9">
        <v>20</v>
      </c>
      <c r="D9" s="2">
        <f t="shared" si="0"/>
        <v>48.703182647543684</v>
      </c>
      <c r="E9" s="2">
        <f t="shared" si="1"/>
        <v>42.059481689626182</v>
      </c>
      <c r="F9">
        <v>2</v>
      </c>
      <c r="G9" s="2">
        <f t="shared" si="2"/>
        <v>42.059481689626182</v>
      </c>
    </row>
    <row r="10" spans="1:11" x14ac:dyDescent="0.35">
      <c r="A10" t="s">
        <v>10</v>
      </c>
      <c r="B10">
        <v>66</v>
      </c>
      <c r="C10">
        <v>28</v>
      </c>
      <c r="D10" s="2">
        <f t="shared" si="0"/>
        <v>59.093146810776631</v>
      </c>
      <c r="E10" s="2">
        <f t="shared" si="1"/>
        <v>52.392747589718944</v>
      </c>
      <c r="F10">
        <v>2</v>
      </c>
      <c r="G10" s="2">
        <f t="shared" si="2"/>
        <v>52.392747589718944</v>
      </c>
    </row>
    <row r="11" spans="1:11" x14ac:dyDescent="0.35">
      <c r="F11" s="6" t="s">
        <v>21</v>
      </c>
      <c r="G11" s="5">
        <f>SUMSQ(G3:G10)</f>
        <v>8420</v>
      </c>
    </row>
    <row r="12" spans="1:11" x14ac:dyDescent="0.35">
      <c r="B12" s="1"/>
      <c r="C12" s="1"/>
    </row>
    <row r="13" spans="1:11" x14ac:dyDescent="0.35">
      <c r="A13" s="1"/>
    </row>
    <row r="14" spans="1:11" x14ac:dyDescent="0.35">
      <c r="A14" s="1"/>
    </row>
    <row r="15" spans="1:11" x14ac:dyDescent="0.35">
      <c r="A15" s="4" t="s">
        <v>25</v>
      </c>
      <c r="B15" s="4" t="s">
        <v>1</v>
      </c>
      <c r="C15" s="4" t="s">
        <v>22</v>
      </c>
      <c r="D15" s="4" t="s">
        <v>23</v>
      </c>
    </row>
    <row r="16" spans="1:11" x14ac:dyDescent="0.35">
      <c r="A16" s="4" t="s">
        <v>19</v>
      </c>
      <c r="B16" s="2">
        <f>AVERAGEIFS($B$3:$B$10,$F$3:$F$10,1)</f>
        <v>11</v>
      </c>
      <c r="C16" s="2">
        <f>AVERAGEIFS($C$3:$C$10,$F$3:$F$10,1)</f>
        <v>3.5</v>
      </c>
      <c r="D16">
        <v>2</v>
      </c>
    </row>
    <row r="17" spans="1:11" x14ac:dyDescent="0.35">
      <c r="A17" s="4" t="s">
        <v>24</v>
      </c>
      <c r="B17" s="2">
        <f>AVERAGEIFS($B$3:$B$10,$F$3:$F$10,2)</f>
        <v>45.666666666666664</v>
      </c>
      <c r="C17" s="2">
        <f>AVERAGEIFS($C$3:$C$10,$F$3:$F$10,2)</f>
        <v>18.166666666666668</v>
      </c>
      <c r="D17">
        <v>6</v>
      </c>
    </row>
    <row r="18" spans="1:11" x14ac:dyDescent="0.35">
      <c r="I18" s="3" t="s">
        <v>26</v>
      </c>
    </row>
    <row r="19" spans="1:11" x14ac:dyDescent="0.35">
      <c r="A19" s="4" t="s">
        <v>0</v>
      </c>
      <c r="B19" s="4" t="s">
        <v>1</v>
      </c>
      <c r="C19" s="4" t="s">
        <v>11</v>
      </c>
      <c r="D19" s="4" t="s">
        <v>12</v>
      </c>
      <c r="E19" s="4" t="s">
        <v>13</v>
      </c>
      <c r="F19" s="4" t="s">
        <v>16</v>
      </c>
      <c r="G19" s="4" t="s">
        <v>14</v>
      </c>
      <c r="I19" s="4" t="s">
        <v>17</v>
      </c>
      <c r="J19" s="4" t="s">
        <v>1</v>
      </c>
      <c r="K19" s="4" t="s">
        <v>22</v>
      </c>
    </row>
    <row r="20" spans="1:11" x14ac:dyDescent="0.35">
      <c r="A20" t="s">
        <v>3</v>
      </c>
      <c r="B20">
        <v>12</v>
      </c>
      <c r="C20">
        <v>4</v>
      </c>
      <c r="D20" s="2">
        <f>SQRT((B20-$J$20)^2+(C20-$K$20)^2)</f>
        <v>1.1180339887498949</v>
      </c>
      <c r="E20" s="2">
        <f>SQRT((B20-$J$21)^2+(C20-$K$21)^2)</f>
        <v>36.525866025173023</v>
      </c>
      <c r="F20">
        <v>1</v>
      </c>
      <c r="G20" s="2">
        <f>MIN(D20:E20)</f>
        <v>1.1180339887498949</v>
      </c>
      <c r="I20" s="4" t="s">
        <v>19</v>
      </c>
      <c r="J20">
        <v>11</v>
      </c>
      <c r="K20">
        <v>3.5</v>
      </c>
    </row>
    <row r="21" spans="1:11" x14ac:dyDescent="0.35">
      <c r="A21" t="s">
        <v>4</v>
      </c>
      <c r="B21">
        <v>15</v>
      </c>
      <c r="C21">
        <v>6</v>
      </c>
      <c r="D21" s="2">
        <f t="shared" ref="D21:D27" si="3">SQRT((B21-$J$20)^2+(C21-$K$20)^2)</f>
        <v>4.7169905660283016</v>
      </c>
      <c r="E21" s="2">
        <f t="shared" ref="E21:E27" si="4">SQRT((B21-$J$21)^2+(C21-$K$21)^2)</f>
        <v>32.992002397887617</v>
      </c>
      <c r="F21">
        <v>1</v>
      </c>
      <c r="G21" s="2">
        <f t="shared" ref="G21:G27" si="5">MIN(D21:E21)</f>
        <v>4.7169905660283016</v>
      </c>
      <c r="I21" s="4" t="s">
        <v>24</v>
      </c>
      <c r="J21">
        <v>45.666666666666664</v>
      </c>
      <c r="K21">
        <v>18.166666666666668</v>
      </c>
    </row>
    <row r="22" spans="1:11" x14ac:dyDescent="0.35">
      <c r="A22" t="s">
        <v>5</v>
      </c>
      <c r="B22">
        <v>10</v>
      </c>
      <c r="C22">
        <v>3</v>
      </c>
      <c r="D22" s="2">
        <f t="shared" si="3"/>
        <v>1.1180339887498949</v>
      </c>
      <c r="E22" s="2">
        <f t="shared" si="4"/>
        <v>38.757436562405523</v>
      </c>
      <c r="F22">
        <v>1</v>
      </c>
      <c r="G22" s="2">
        <f t="shared" si="5"/>
        <v>1.1180339887498949</v>
      </c>
    </row>
    <row r="23" spans="1:11" x14ac:dyDescent="0.35">
      <c r="A23" t="s">
        <v>6</v>
      </c>
      <c r="B23">
        <v>18</v>
      </c>
      <c r="C23">
        <v>7</v>
      </c>
      <c r="D23" s="2">
        <f t="shared" si="3"/>
        <v>7.8262379212492643</v>
      </c>
      <c r="E23" s="2">
        <f t="shared" si="4"/>
        <v>29.835195472610678</v>
      </c>
      <c r="F23">
        <v>1</v>
      </c>
      <c r="G23" s="2">
        <f t="shared" si="5"/>
        <v>7.8262379212492643</v>
      </c>
    </row>
    <row r="24" spans="1:11" x14ac:dyDescent="0.35">
      <c r="A24" t="s">
        <v>7</v>
      </c>
      <c r="B24">
        <v>55</v>
      </c>
      <c r="C24">
        <v>22</v>
      </c>
      <c r="D24" s="2">
        <f t="shared" si="3"/>
        <v>47.731017169132272</v>
      </c>
      <c r="E24" s="2">
        <f t="shared" si="4"/>
        <v>10.089873911776877</v>
      </c>
      <c r="F24">
        <v>2</v>
      </c>
      <c r="G24" s="2">
        <f t="shared" si="5"/>
        <v>10.089873911776877</v>
      </c>
    </row>
    <row r="25" spans="1:11" x14ac:dyDescent="0.35">
      <c r="A25" t="s">
        <v>8</v>
      </c>
      <c r="B25">
        <v>62</v>
      </c>
      <c r="C25">
        <v>26</v>
      </c>
      <c r="D25" s="2">
        <f t="shared" si="3"/>
        <v>55.742712528186139</v>
      </c>
      <c r="E25" s="2">
        <f t="shared" si="4"/>
        <v>18.114604298435253</v>
      </c>
      <c r="F25">
        <v>2</v>
      </c>
      <c r="G25" s="2">
        <f t="shared" si="5"/>
        <v>18.114604298435253</v>
      </c>
    </row>
    <row r="26" spans="1:11" x14ac:dyDescent="0.35">
      <c r="A26" t="s">
        <v>9</v>
      </c>
      <c r="B26">
        <v>58</v>
      </c>
      <c r="C26">
        <v>20</v>
      </c>
      <c r="D26" s="2">
        <f t="shared" si="3"/>
        <v>49.812147112928187</v>
      </c>
      <c r="E26" s="2">
        <f t="shared" si="4"/>
        <v>12.468850076178729</v>
      </c>
      <c r="F26">
        <v>2</v>
      </c>
      <c r="G26" s="2">
        <f t="shared" si="5"/>
        <v>12.468850076178729</v>
      </c>
    </row>
    <row r="27" spans="1:11" x14ac:dyDescent="0.35">
      <c r="A27" t="s">
        <v>10</v>
      </c>
      <c r="B27">
        <v>66</v>
      </c>
      <c r="C27">
        <v>28</v>
      </c>
      <c r="D27" s="2">
        <f t="shared" si="3"/>
        <v>60.210048995163589</v>
      </c>
      <c r="E27" s="2">
        <f t="shared" si="4"/>
        <v>22.586254423628741</v>
      </c>
      <c r="F27">
        <v>2</v>
      </c>
      <c r="G27" s="2">
        <f t="shared" si="5"/>
        <v>22.586254423628741</v>
      </c>
    </row>
    <row r="28" spans="1:11" x14ac:dyDescent="0.35">
      <c r="F28" s="6" t="s">
        <v>21</v>
      </c>
      <c r="G28" s="5">
        <f>SUMSQ(G20:G27)</f>
        <v>1181.5555555555557</v>
      </c>
    </row>
    <row r="31" spans="1:11" x14ac:dyDescent="0.35">
      <c r="A31" s="4" t="s">
        <v>25</v>
      </c>
      <c r="B31" s="4" t="s">
        <v>1</v>
      </c>
      <c r="C31" s="4" t="s">
        <v>22</v>
      </c>
      <c r="D31" s="4" t="s">
        <v>23</v>
      </c>
    </row>
    <row r="32" spans="1:11" x14ac:dyDescent="0.35">
      <c r="A32" s="4" t="s">
        <v>19</v>
      </c>
      <c r="B32" s="2">
        <f>AVERAGEIFS(B20:B27,F20:F27,1)</f>
        <v>13.75</v>
      </c>
      <c r="C32" s="2">
        <f>AVERAGEIFS(C20:C27,F20:F27,1)</f>
        <v>5</v>
      </c>
      <c r="D32">
        <v>2</v>
      </c>
    </row>
    <row r="33" spans="1:11" x14ac:dyDescent="0.35">
      <c r="A33" s="4" t="s">
        <v>24</v>
      </c>
      <c r="B33" s="2">
        <f>AVERAGEIFS(B20:B27,F20:F27,2)</f>
        <v>60.25</v>
      </c>
      <c r="C33" s="2">
        <f>AVERAGEIFS(C20:C27,F20:F27,2)</f>
        <v>24</v>
      </c>
      <c r="D33">
        <v>6</v>
      </c>
    </row>
    <row r="34" spans="1:11" x14ac:dyDescent="0.35">
      <c r="I34" s="3" t="s">
        <v>27</v>
      </c>
    </row>
    <row r="35" spans="1:11" x14ac:dyDescent="0.35">
      <c r="A35" s="4" t="s">
        <v>0</v>
      </c>
      <c r="B35" s="4" t="s">
        <v>1</v>
      </c>
      <c r="C35" s="4" t="s">
        <v>11</v>
      </c>
      <c r="D35" s="4" t="s">
        <v>12</v>
      </c>
      <c r="E35" s="4" t="s">
        <v>13</v>
      </c>
      <c r="F35" s="4" t="s">
        <v>16</v>
      </c>
      <c r="G35" s="4" t="s">
        <v>14</v>
      </c>
      <c r="I35" s="4" t="s">
        <v>17</v>
      </c>
      <c r="J35" s="4" t="s">
        <v>1</v>
      </c>
      <c r="K35" s="4" t="s">
        <v>22</v>
      </c>
    </row>
    <row r="36" spans="1:11" x14ac:dyDescent="0.35">
      <c r="A36" t="s">
        <v>3</v>
      </c>
      <c r="B36">
        <v>12</v>
      </c>
      <c r="C36">
        <v>4</v>
      </c>
      <c r="D36" s="2">
        <f>SQRT((B36-$J$36)^2+(C36-$K$36)^2)</f>
        <v>2.0155644370746373</v>
      </c>
      <c r="E36" s="2">
        <f>SQRT((B36-$J$37)^2+(C36-$K$37)^2)</f>
        <v>52.230857737548213</v>
      </c>
      <c r="F36">
        <v>1</v>
      </c>
      <c r="G36" s="2">
        <f>MIN(D36:E36)</f>
        <v>2.0155644370746373</v>
      </c>
      <c r="I36" s="4" t="s">
        <v>19</v>
      </c>
      <c r="J36">
        <v>13.75</v>
      </c>
      <c r="K36">
        <v>5</v>
      </c>
    </row>
    <row r="37" spans="1:11" x14ac:dyDescent="0.35">
      <c r="A37" t="s">
        <v>4</v>
      </c>
      <c r="B37">
        <v>15</v>
      </c>
      <c r="C37">
        <v>6</v>
      </c>
      <c r="D37" s="2">
        <f t="shared" ref="D37:D43" si="6">SQRT((B37-$J$36)^2+(C37-$K$36)^2)</f>
        <v>1.6007810593582121</v>
      </c>
      <c r="E37" s="2">
        <f t="shared" ref="E37:E43" si="7">SQRT((B37-$J$37)^2+(C37-$K$37)^2)</f>
        <v>48.698690947498783</v>
      </c>
      <c r="F37">
        <v>1</v>
      </c>
      <c r="G37" s="2">
        <f t="shared" ref="G37:G43" si="8">MIN(D37:E37)</f>
        <v>1.6007810593582121</v>
      </c>
      <c r="I37" s="4" t="s">
        <v>24</v>
      </c>
      <c r="J37">
        <v>60.25</v>
      </c>
      <c r="K37">
        <v>24</v>
      </c>
    </row>
    <row r="38" spans="1:11" x14ac:dyDescent="0.35">
      <c r="A38" t="s">
        <v>5</v>
      </c>
      <c r="B38">
        <v>10</v>
      </c>
      <c r="C38">
        <v>3</v>
      </c>
      <c r="D38" s="2">
        <f t="shared" si="6"/>
        <v>4.25</v>
      </c>
      <c r="E38" s="2">
        <f t="shared" si="7"/>
        <v>54.461569018896249</v>
      </c>
      <c r="F38">
        <v>1</v>
      </c>
      <c r="G38" s="2">
        <f t="shared" si="8"/>
        <v>4.25</v>
      </c>
    </row>
    <row r="39" spans="1:11" x14ac:dyDescent="0.35">
      <c r="A39" t="s">
        <v>6</v>
      </c>
      <c r="B39">
        <v>18</v>
      </c>
      <c r="C39">
        <v>7</v>
      </c>
      <c r="D39" s="2">
        <f t="shared" si="6"/>
        <v>4.6970735570139839</v>
      </c>
      <c r="E39" s="2">
        <f t="shared" si="7"/>
        <v>45.541876333765607</v>
      </c>
      <c r="F39">
        <v>1</v>
      </c>
      <c r="G39" s="2">
        <f t="shared" si="8"/>
        <v>4.6970735570139839</v>
      </c>
    </row>
    <row r="40" spans="1:11" x14ac:dyDescent="0.35">
      <c r="A40" t="s">
        <v>7</v>
      </c>
      <c r="B40">
        <v>55</v>
      </c>
      <c r="C40">
        <v>22</v>
      </c>
      <c r="D40" s="2">
        <f t="shared" si="6"/>
        <v>44.615720323670672</v>
      </c>
      <c r="E40" s="2">
        <f t="shared" si="7"/>
        <v>5.6180512635610578</v>
      </c>
      <c r="F40">
        <v>2</v>
      </c>
      <c r="G40" s="2">
        <f t="shared" si="8"/>
        <v>5.6180512635610578</v>
      </c>
    </row>
    <row r="41" spans="1:11" x14ac:dyDescent="0.35">
      <c r="A41" t="s">
        <v>8</v>
      </c>
      <c r="B41">
        <v>62</v>
      </c>
      <c r="C41">
        <v>26</v>
      </c>
      <c r="D41" s="2">
        <f t="shared" si="6"/>
        <v>52.621882330452607</v>
      </c>
      <c r="E41" s="2">
        <f t="shared" si="7"/>
        <v>2.6575364531836625</v>
      </c>
      <c r="F41">
        <v>2</v>
      </c>
      <c r="G41" s="2">
        <f t="shared" si="8"/>
        <v>2.6575364531836625</v>
      </c>
    </row>
    <row r="42" spans="1:11" x14ac:dyDescent="0.35">
      <c r="A42" t="s">
        <v>9</v>
      </c>
      <c r="B42">
        <v>58</v>
      </c>
      <c r="C42">
        <v>20</v>
      </c>
      <c r="D42" s="2">
        <f t="shared" si="6"/>
        <v>46.723254381517563</v>
      </c>
      <c r="E42" s="2">
        <f t="shared" si="7"/>
        <v>4.5893899376714549</v>
      </c>
      <c r="F42">
        <v>2</v>
      </c>
      <c r="G42" s="2">
        <f t="shared" si="8"/>
        <v>4.5893899376714549</v>
      </c>
    </row>
    <row r="43" spans="1:11" x14ac:dyDescent="0.35">
      <c r="A43" t="s">
        <v>10</v>
      </c>
      <c r="B43">
        <v>66</v>
      </c>
      <c r="C43">
        <v>28</v>
      </c>
      <c r="D43" s="2">
        <f t="shared" si="6"/>
        <v>57.088199305986173</v>
      </c>
      <c r="E43" s="2">
        <f t="shared" si="7"/>
        <v>7.00446286306095</v>
      </c>
      <c r="F43">
        <v>2</v>
      </c>
      <c r="G43" s="2">
        <f t="shared" si="8"/>
        <v>7.00446286306095</v>
      </c>
    </row>
    <row r="44" spans="1:11" x14ac:dyDescent="0.35">
      <c r="F44" s="6" t="s">
        <v>21</v>
      </c>
      <c r="G44" s="5">
        <f>SUMSQ(G36:G43)</f>
        <v>155.5</v>
      </c>
    </row>
    <row r="48" spans="1:11" x14ac:dyDescent="0.35">
      <c r="A48" s="1" t="s">
        <v>28</v>
      </c>
    </row>
    <row r="49" spans="1:1" x14ac:dyDescent="0.35">
      <c r="A49">
        <v>8420</v>
      </c>
    </row>
    <row r="50" spans="1:1" x14ac:dyDescent="0.35">
      <c r="A50">
        <v>1181.56</v>
      </c>
    </row>
    <row r="51" spans="1:1" x14ac:dyDescent="0.35">
      <c r="A51">
        <v>155.5</v>
      </c>
    </row>
  </sheetData>
  <phoneticPr fontId="3" type="noConversion"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Niharika C</dc:creator>
  <cp:lastModifiedBy>Niharika C</cp:lastModifiedBy>
  <dcterms:created xsi:type="dcterms:W3CDTF">2026-09-07T02:50:43Z</dcterms:created>
  <dcterms:modified xsi:type="dcterms:W3CDTF">2026-09-20T07:53:37Z</dcterms:modified>
</cp:coreProperties>
</file>