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har\Downloads\"/>
    </mc:Choice>
  </mc:AlternateContent>
  <xr:revisionPtr revIDLastSave="0" documentId="13_ncr:1_{7E3E2FE4-A0DA-469E-8FB8-F7513EA875BE}" xr6:coauthVersionLast="47" xr6:coauthVersionMax="47" xr10:uidLastSave="{00000000-0000-0000-0000-000000000000}"/>
  <bookViews>
    <workbookView xWindow="-108" yWindow="-108" windowWidth="23256" windowHeight="12456" xr2:uid="{D687B576-A181-4280-9F2D-05EF2D8E9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D8" i="1" s="1"/>
  <c r="E8" i="1" s="1"/>
  <c r="D7" i="1"/>
  <c r="E7" i="1" s="1"/>
  <c r="B9" i="1" l="1"/>
  <c r="B10" i="1" l="1"/>
  <c r="D9" i="1"/>
  <c r="E9" i="1" l="1"/>
  <c r="D10" i="1"/>
  <c r="E10" i="1" s="1"/>
  <c r="B11" i="1"/>
  <c r="B12" i="1" l="1"/>
  <c r="D11" i="1"/>
  <c r="E11" i="1" s="1"/>
  <c r="B13" i="1" l="1"/>
  <c r="D12" i="1"/>
  <c r="E12" i="1" l="1"/>
  <c r="D13" i="1"/>
  <c r="E13" i="1" s="1"/>
  <c r="B14" i="1"/>
  <c r="B15" i="1" l="1"/>
  <c r="D14" i="1"/>
  <c r="E14" i="1" s="1"/>
  <c r="B16" i="1" l="1"/>
  <c r="D15" i="1"/>
  <c r="E15" i="1" s="1"/>
  <c r="D16" i="1" l="1"/>
  <c r="E16" i="1" s="1"/>
  <c r="B17" i="1"/>
  <c r="B18" i="1" l="1"/>
  <c r="D17" i="1"/>
  <c r="E17" i="1" s="1"/>
  <c r="B19" i="1" l="1"/>
  <c r="D18" i="1"/>
  <c r="E18" i="1" s="1"/>
  <c r="D19" i="1" l="1"/>
  <c r="E19" i="1" s="1"/>
  <c r="B20" i="1"/>
  <c r="B21" i="1" l="1"/>
  <c r="D20" i="1"/>
  <c r="E20" i="1" s="1"/>
  <c r="B22" i="1" l="1"/>
  <c r="D21" i="1"/>
  <c r="E21" i="1" s="1"/>
  <c r="D22" i="1" l="1"/>
  <c r="E22" i="1" s="1"/>
  <c r="B23" i="1"/>
  <c r="B24" i="1" l="1"/>
  <c r="D23" i="1"/>
  <c r="E23" i="1" s="1"/>
  <c r="B25" i="1" l="1"/>
  <c r="D24" i="1"/>
  <c r="E24" i="1" s="1"/>
  <c r="B26" i="1" l="1"/>
  <c r="D26" i="1" s="1"/>
  <c r="D25" i="1"/>
  <c r="E25" i="1" s="1"/>
  <c r="E26" i="1" l="1"/>
  <c r="B2" i="1" s="1"/>
  <c r="B4" i="1"/>
  <c r="C2" i="1" l="1"/>
  <c r="G2" i="1"/>
</calcChain>
</file>

<file path=xl/sharedStrings.xml><?xml version="1.0" encoding="utf-8"?>
<sst xmlns="http://schemas.openxmlformats.org/spreadsheetml/2006/main" count="12" uniqueCount="12">
  <si>
    <t>Years</t>
  </si>
  <si>
    <t>Customers</t>
  </si>
  <si>
    <t>Per Customer Profit Margin</t>
  </si>
  <si>
    <t>Discount Rate</t>
  </si>
  <si>
    <t>Retention Rate</t>
  </si>
  <si>
    <t>Total Margin</t>
  </si>
  <si>
    <t>Present Value</t>
  </si>
  <si>
    <t>NPV</t>
  </si>
  <si>
    <t>Sum of Present Value</t>
  </si>
  <si>
    <t>CLV</t>
  </si>
  <si>
    <t>What If? Analysis</t>
  </si>
  <si>
    <t>Data Tab&gt;What If Analysis&gt;Row Input Cell (Discount Rate)&gt;Column Input Cell (Retention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</si>
</sst>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1" fillId="0" borderId="0" xfId="0" applyFont="1"/>
    <xf numFmtId="8" fontId="0" fillId="0" borderId="0" xfId="0" applyNumberFormat="1"/>
    <xf numFmtId="164" fontId="0" fillId="0" borderId="0" xfId="0" applyNumberFormat="1"/>
    <xf numFmtId="9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A03C-C3F6-4BE9-B44A-BA4FD65D5F2B}">
  <dimension ref="A1:M26"/>
  <sheetViews>
    <sheetView tabSelected="1" topLeftCell="A5" workbookViewId="0">
      <selection activeCell="L18" sqref="L18"/>
    </sheetView>
  </sheetViews>
  <sheetFormatPr defaultRowHeight="14.4" x14ac:dyDescent="0.3"/>
  <cols>
    <col min="1" max="1" width="13.33203125" bestFit="1" customWidth="1"/>
    <col min="2" max="2" width="19.21875" bestFit="1" customWidth="1"/>
    <col min="3" max="3" width="24.21875" bestFit="1" customWidth="1"/>
    <col min="4" max="4" width="12" bestFit="1" customWidth="1"/>
    <col min="5" max="5" width="12.5546875" bestFit="1" customWidth="1"/>
    <col min="6" max="6" width="12.5546875" customWidth="1"/>
    <col min="7" max="7" width="9.44140625" bestFit="1" customWidth="1"/>
    <col min="13" max="13" width="17.88671875" customWidth="1"/>
  </cols>
  <sheetData>
    <row r="1" spans="1:13" x14ac:dyDescent="0.3">
      <c r="A1" s="2" t="s">
        <v>3</v>
      </c>
      <c r="B1" s="2" t="s">
        <v>8</v>
      </c>
      <c r="C1" s="2" t="s">
        <v>9</v>
      </c>
      <c r="G1" s="7" t="s">
        <v>10</v>
      </c>
      <c r="H1" s="7"/>
      <c r="I1" s="7"/>
      <c r="J1" s="7"/>
      <c r="K1" s="7"/>
    </row>
    <row r="2" spans="1:13" ht="86.4" x14ac:dyDescent="0.3">
      <c r="A2" s="1">
        <v>0.1</v>
      </c>
      <c r="B2">
        <f>SUM(E7:E26)</f>
        <v>2199.9880437775869</v>
      </c>
      <c r="C2" s="4">
        <f>B2/B7</f>
        <v>21.999880437775868</v>
      </c>
      <c r="G2" s="2">
        <f>B2</f>
        <v>2199.9880437775869</v>
      </c>
      <c r="H2" s="5">
        <v>0.1</v>
      </c>
      <c r="I2" s="5">
        <v>0.12</v>
      </c>
      <c r="J2" s="5">
        <v>0.14000000000000001</v>
      </c>
      <c r="K2" s="5">
        <v>0.16</v>
      </c>
      <c r="M2" s="6" t="s">
        <v>11</v>
      </c>
    </row>
    <row r="3" spans="1:13" x14ac:dyDescent="0.3">
      <c r="A3" s="2" t="s">
        <v>4</v>
      </c>
      <c r="B3" s="2" t="s">
        <v>7</v>
      </c>
      <c r="G3" s="5">
        <v>0.6</v>
      </c>
      <c r="H3">
        <f t="dataTable" ref="H3:K6" dt2D="1" dtr="1" r1="A2" r2="A4"/>
        <v>2199.9880437775869</v>
      </c>
      <c r="I3">
        <v>2153.8379902928395</v>
      </c>
      <c r="J3">
        <v>2111.1054949562777</v>
      </c>
      <c r="K3">
        <v>2071.4246797659298</v>
      </c>
    </row>
    <row r="4" spans="1:13" x14ac:dyDescent="0.3">
      <c r="A4" s="1">
        <v>0.6</v>
      </c>
      <c r="B4" s="3">
        <f>NPV(A2,D7:D26)</f>
        <v>1999.989130706897</v>
      </c>
      <c r="G4" s="5">
        <v>0.7</v>
      </c>
      <c r="H4">
        <v>2749.6738331713555</v>
      </c>
      <c r="I4">
        <v>2666.4460851699855</v>
      </c>
      <c r="J4">
        <v>2590.7586673194032</v>
      </c>
      <c r="K4">
        <v>2521.6357350453504</v>
      </c>
    </row>
    <row r="5" spans="1:13" x14ac:dyDescent="0.3">
      <c r="G5" s="5">
        <v>0.8</v>
      </c>
      <c r="H5">
        <v>3660.382937373367</v>
      </c>
      <c r="I5">
        <v>3495.8168125028892</v>
      </c>
      <c r="J5">
        <v>3350.1284425710605</v>
      </c>
      <c r="K5">
        <v>3220.3132683082872</v>
      </c>
    </row>
    <row r="6" spans="1:13" s="2" customFormat="1" x14ac:dyDescent="0.3">
      <c r="A6" s="2" t="s">
        <v>0</v>
      </c>
      <c r="B6" s="2" t="s">
        <v>1</v>
      </c>
      <c r="C6" s="2" t="s">
        <v>2</v>
      </c>
      <c r="D6" s="2" t="s">
        <v>5</v>
      </c>
      <c r="E6" s="2" t="s">
        <v>6</v>
      </c>
      <c r="G6" s="5">
        <v>0.9</v>
      </c>
      <c r="H6" s="2">
        <v>5400.6062273824073</v>
      </c>
      <c r="I6" s="2">
        <v>5026.7460295017036</v>
      </c>
      <c r="J6" s="2">
        <v>4707.980897523863</v>
      </c>
      <c r="K6" s="2">
        <v>4433.6660179276669</v>
      </c>
    </row>
    <row r="7" spans="1:13" x14ac:dyDescent="0.3">
      <c r="A7">
        <v>1</v>
      </c>
      <c r="B7">
        <v>100</v>
      </c>
      <c r="C7">
        <v>10</v>
      </c>
      <c r="D7">
        <f>B7*C7</f>
        <v>1000</v>
      </c>
      <c r="E7">
        <f>D7/(1+$A$2)^(A7-1)</f>
        <v>1000</v>
      </c>
      <c r="G7" s="3"/>
    </row>
    <row r="8" spans="1:13" x14ac:dyDescent="0.3">
      <c r="A8">
        <v>2</v>
      </c>
      <c r="B8">
        <f>B7*$A$4</f>
        <v>60</v>
      </c>
      <c r="C8">
        <v>10</v>
      </c>
      <c r="D8">
        <f t="shared" ref="D8:D26" si="0">B8*C8</f>
        <v>600</v>
      </c>
      <c r="E8">
        <f t="shared" ref="E8:E26" si="1">D8/(1+$A$2)^(A8-1)</f>
        <v>545.45454545454538</v>
      </c>
      <c r="G8" s="3"/>
    </row>
    <row r="9" spans="1:13" x14ac:dyDescent="0.3">
      <c r="A9">
        <v>3</v>
      </c>
      <c r="B9">
        <f t="shared" ref="B9:B26" si="2">B8*$A$4</f>
        <v>36</v>
      </c>
      <c r="C9">
        <v>10</v>
      </c>
      <c r="D9">
        <f t="shared" si="0"/>
        <v>360</v>
      </c>
      <c r="E9">
        <f t="shared" si="1"/>
        <v>297.52066115702473</v>
      </c>
      <c r="G9" s="3"/>
    </row>
    <row r="10" spans="1:13" x14ac:dyDescent="0.3">
      <c r="A10">
        <v>4</v>
      </c>
      <c r="B10">
        <f t="shared" si="2"/>
        <v>21.599999999999998</v>
      </c>
      <c r="C10">
        <v>10</v>
      </c>
      <c r="D10">
        <f t="shared" si="0"/>
        <v>215.99999999999997</v>
      </c>
      <c r="E10">
        <f t="shared" si="1"/>
        <v>162.28399699474073</v>
      </c>
      <c r="G10" s="3"/>
    </row>
    <row r="11" spans="1:13" x14ac:dyDescent="0.3">
      <c r="A11">
        <v>5</v>
      </c>
      <c r="B11">
        <f t="shared" si="2"/>
        <v>12.959999999999999</v>
      </c>
      <c r="C11">
        <v>10</v>
      </c>
      <c r="D11">
        <f t="shared" si="0"/>
        <v>129.6</v>
      </c>
      <c r="E11">
        <f t="shared" si="1"/>
        <v>88.518543815313137</v>
      </c>
      <c r="G11" s="3"/>
    </row>
    <row r="12" spans="1:13" x14ac:dyDescent="0.3">
      <c r="A12">
        <v>6</v>
      </c>
      <c r="B12">
        <f t="shared" si="2"/>
        <v>7.7759999999999989</v>
      </c>
      <c r="C12">
        <v>10</v>
      </c>
      <c r="D12">
        <f t="shared" si="0"/>
        <v>77.759999999999991</v>
      </c>
      <c r="E12">
        <f t="shared" si="1"/>
        <v>48.282842081079885</v>
      </c>
      <c r="G12" s="3"/>
    </row>
    <row r="13" spans="1:13" x14ac:dyDescent="0.3">
      <c r="A13">
        <v>7</v>
      </c>
      <c r="B13">
        <f t="shared" si="2"/>
        <v>4.6655999999999995</v>
      </c>
      <c r="C13">
        <v>10</v>
      </c>
      <c r="D13">
        <f t="shared" si="0"/>
        <v>46.655999999999992</v>
      </c>
      <c r="E13">
        <f t="shared" si="1"/>
        <v>26.336095680589022</v>
      </c>
      <c r="G13" s="3"/>
    </row>
    <row r="14" spans="1:13" x14ac:dyDescent="0.3">
      <c r="A14">
        <v>8</v>
      </c>
      <c r="B14">
        <f t="shared" si="2"/>
        <v>2.7993599999999996</v>
      </c>
      <c r="C14">
        <v>10</v>
      </c>
      <c r="D14">
        <f t="shared" si="0"/>
        <v>27.993599999999997</v>
      </c>
      <c r="E14">
        <f t="shared" si="1"/>
        <v>14.365143098503102</v>
      </c>
      <c r="G14" s="3"/>
    </row>
    <row r="15" spans="1:13" x14ac:dyDescent="0.3">
      <c r="A15">
        <v>9</v>
      </c>
      <c r="B15">
        <f t="shared" si="2"/>
        <v>1.6796159999999998</v>
      </c>
      <c r="C15">
        <v>10</v>
      </c>
      <c r="D15">
        <f t="shared" si="0"/>
        <v>16.796159999999997</v>
      </c>
      <c r="E15">
        <f t="shared" si="1"/>
        <v>7.8355325991835105</v>
      </c>
      <c r="G15" s="3"/>
    </row>
    <row r="16" spans="1:13" x14ac:dyDescent="0.3">
      <c r="A16">
        <v>10</v>
      </c>
      <c r="B16">
        <f t="shared" si="2"/>
        <v>1.0077695999999998</v>
      </c>
      <c r="C16">
        <v>10</v>
      </c>
      <c r="D16">
        <f t="shared" si="0"/>
        <v>10.077695999999998</v>
      </c>
      <c r="E16">
        <f t="shared" si="1"/>
        <v>4.2739268722819146</v>
      </c>
      <c r="G16" s="3"/>
    </row>
    <row r="17" spans="1:7" x14ac:dyDescent="0.3">
      <c r="A17">
        <v>11</v>
      </c>
      <c r="B17">
        <f t="shared" si="2"/>
        <v>0.60466175999999983</v>
      </c>
      <c r="C17">
        <v>10</v>
      </c>
      <c r="D17">
        <f t="shared" si="0"/>
        <v>6.0466175999999985</v>
      </c>
      <c r="E17">
        <f t="shared" si="1"/>
        <v>2.3312328394264985</v>
      </c>
      <c r="G17" s="3"/>
    </row>
    <row r="18" spans="1:7" x14ac:dyDescent="0.3">
      <c r="A18">
        <v>12</v>
      </c>
      <c r="B18">
        <f t="shared" si="2"/>
        <v>0.3627970559999999</v>
      </c>
      <c r="C18">
        <v>10</v>
      </c>
      <c r="D18">
        <f t="shared" si="0"/>
        <v>3.6279705599999987</v>
      </c>
      <c r="E18">
        <f t="shared" si="1"/>
        <v>1.2715815487780897</v>
      </c>
      <c r="G18" s="3"/>
    </row>
    <row r="19" spans="1:7" x14ac:dyDescent="0.3">
      <c r="A19">
        <v>13</v>
      </c>
      <c r="B19">
        <f t="shared" si="2"/>
        <v>0.21767823359999994</v>
      </c>
      <c r="C19">
        <v>10</v>
      </c>
      <c r="D19">
        <f t="shared" si="0"/>
        <v>2.1767823359999996</v>
      </c>
      <c r="E19">
        <f t="shared" si="1"/>
        <v>0.69358993569714</v>
      </c>
      <c r="G19" s="3"/>
    </row>
    <row r="20" spans="1:7" x14ac:dyDescent="0.3">
      <c r="A20">
        <v>14</v>
      </c>
      <c r="B20">
        <f t="shared" si="2"/>
        <v>0.13060694015999996</v>
      </c>
      <c r="C20">
        <v>10</v>
      </c>
      <c r="D20">
        <f t="shared" si="0"/>
        <v>1.3060694015999996</v>
      </c>
      <c r="E20">
        <f t="shared" si="1"/>
        <v>0.37832178310753084</v>
      </c>
      <c r="G20" s="3"/>
    </row>
    <row r="21" spans="1:7" x14ac:dyDescent="0.3">
      <c r="A21">
        <v>15</v>
      </c>
      <c r="B21">
        <f t="shared" si="2"/>
        <v>7.8364164095999972E-2</v>
      </c>
      <c r="C21">
        <v>10</v>
      </c>
      <c r="D21">
        <f t="shared" si="0"/>
        <v>0.78364164095999977</v>
      </c>
      <c r="E21">
        <f t="shared" si="1"/>
        <v>0.20635733624047134</v>
      </c>
      <c r="G21" s="3"/>
    </row>
    <row r="22" spans="1:7" x14ac:dyDescent="0.3">
      <c r="A22">
        <v>16</v>
      </c>
      <c r="B22">
        <f t="shared" si="2"/>
        <v>4.7018498457599985E-2</v>
      </c>
      <c r="C22">
        <v>10</v>
      </c>
      <c r="D22">
        <f t="shared" si="0"/>
        <v>0.47018498457599983</v>
      </c>
      <c r="E22">
        <f t="shared" si="1"/>
        <v>0.11255854704025708</v>
      </c>
      <c r="G22" s="3"/>
    </row>
    <row r="23" spans="1:7" x14ac:dyDescent="0.3">
      <c r="A23">
        <v>17</v>
      </c>
      <c r="B23">
        <f t="shared" si="2"/>
        <v>2.821109907455999E-2</v>
      </c>
      <c r="C23">
        <v>10</v>
      </c>
      <c r="D23">
        <f t="shared" si="0"/>
        <v>0.28211099074559992</v>
      </c>
      <c r="E23">
        <f t="shared" si="1"/>
        <v>6.1395571112867503E-2</v>
      </c>
      <c r="G23" s="3"/>
    </row>
    <row r="24" spans="1:7" x14ac:dyDescent="0.3">
      <c r="A24">
        <v>18</v>
      </c>
      <c r="B24">
        <f t="shared" si="2"/>
        <v>1.6926659444735995E-2</v>
      </c>
      <c r="C24">
        <v>10</v>
      </c>
      <c r="D24">
        <f t="shared" si="0"/>
        <v>0.16926659444735995</v>
      </c>
      <c r="E24">
        <f t="shared" si="1"/>
        <v>3.3488493334291367E-2</v>
      </c>
      <c r="G24" s="3"/>
    </row>
    <row r="25" spans="1:7" x14ac:dyDescent="0.3">
      <c r="A25">
        <v>19</v>
      </c>
      <c r="B25">
        <f t="shared" si="2"/>
        <v>1.0155995666841597E-2</v>
      </c>
      <c r="C25">
        <v>10</v>
      </c>
      <c r="D25">
        <f t="shared" si="0"/>
        <v>0.10155995666841597</v>
      </c>
      <c r="E25">
        <f t="shared" si="1"/>
        <v>1.8266450909613468E-2</v>
      </c>
      <c r="G25" s="3"/>
    </row>
    <row r="26" spans="1:7" x14ac:dyDescent="0.3">
      <c r="A26">
        <v>20</v>
      </c>
      <c r="B26">
        <f t="shared" si="2"/>
        <v>6.0935974001049579E-3</v>
      </c>
      <c r="C26">
        <v>10</v>
      </c>
      <c r="D26">
        <f t="shared" si="0"/>
        <v>6.0935974001049581E-2</v>
      </c>
      <c r="E26">
        <f t="shared" si="1"/>
        <v>9.9635186779709808E-3</v>
      </c>
      <c r="G26" s="3"/>
    </row>
  </sheetData>
  <mergeCells count="1"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Niharika C</dc:creator>
  <cp:lastModifiedBy>Niharika C</cp:lastModifiedBy>
  <dcterms:created xsi:type="dcterms:W3CDTF">2026-08-18T04:55:53Z</dcterms:created>
  <dcterms:modified xsi:type="dcterms:W3CDTF">2026-08-19T06:16:26Z</dcterms:modified>
</cp:coreProperties>
</file>