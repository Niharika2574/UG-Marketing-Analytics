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harika C\Downloads\"/>
    </mc:Choice>
  </mc:AlternateContent>
  <xr:revisionPtr revIDLastSave="0" documentId="13_ncr:1_{1EA654EE-0692-4031-839C-E25EAF38FB2D}" xr6:coauthVersionLast="47" xr6:coauthVersionMax="47" xr10:uidLastSave="{00000000-0000-0000-0000-000000000000}"/>
  <bookViews>
    <workbookView xWindow="-110" yWindow="-110" windowWidth="19420" windowHeight="11500" xr2:uid="{F87A8858-EAFE-0142-B11A-7CB217D80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2" i="1" l="1"/>
  <c r="C50" i="1"/>
  <c r="C46" i="1"/>
  <c r="C37" i="1"/>
  <c r="C32" i="1"/>
  <c r="P8" i="1" l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7" i="1"/>
</calcChain>
</file>

<file path=xl/sharedStrings.xml><?xml version="1.0" encoding="utf-8"?>
<sst xmlns="http://schemas.openxmlformats.org/spreadsheetml/2006/main" count="143" uniqueCount="47">
  <si>
    <t>Fragrance</t>
  </si>
  <si>
    <t>Price</t>
  </si>
  <si>
    <t>Guarantee?</t>
  </si>
  <si>
    <t>Color</t>
  </si>
  <si>
    <t>Rank</t>
  </si>
  <si>
    <t>Lavender</t>
  </si>
  <si>
    <t>Shea Butter</t>
  </si>
  <si>
    <t>Yes</t>
  </si>
  <si>
    <t>Natural</t>
  </si>
  <si>
    <t>Cocoa Butter</t>
  </si>
  <si>
    <t>White</t>
  </si>
  <si>
    <t>Coconut Butter</t>
  </si>
  <si>
    <t>No</t>
  </si>
  <si>
    <t>Mint</t>
  </si>
  <si>
    <t>Non-fragrant</t>
  </si>
  <si>
    <t>Ingredients</t>
  </si>
  <si>
    <t>Price 2.5</t>
  </si>
  <si>
    <t>Price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</si>
  <si>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</si>
  <si>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</si>
  <si>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</si>
  <si>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</si>
  <si>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</si>
  <si>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</si>
  <si>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</si>
  <si>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</si>
  <si>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</si>
  <si>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</si>
  <si>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</si>
  <si>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</si>
  <si>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</si>
  <si>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</si>
  <si>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</si>
  <si>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</si>
  <si>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</si>
  <si>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</si>
  <si>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</si>
  <si>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</si>
  <si>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</si>
  <si>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</si>
  <si>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</si>
  <si>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</si>
  <si>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Guarantee</t>
  </si>
  <si>
    <t>Price 3.0</t>
  </si>
  <si>
    <t>Rank Factor</t>
  </si>
  <si>
    <t>The owner of the Natural Soap Company asked you to help determine what three new soaps to produce combining fragrance (Lavender, Mint, or Non-fragrant), ingredient (Shea, Cocoa, or Coconut), and color (white or natural color). These soaps will be part of the deluxe line and will be priced at $2.50, $3.00, or $3.50 and the owner is considering including an overnight deliver guarantee.</t>
  </si>
  <si>
    <t>Post-Analysis: Most important variables are Fragrance and Price and the least important variables are Ingredients and Guarantee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</si>
</sst>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/>
    <xf numFmtId="0" fontId="0" fillId="2" borderId="1" xfId="0" applyFill="1" applyBorder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9053-C8CE-6548-89BD-D976D5914095}">
  <dimension ref="A1:P57"/>
  <sheetViews>
    <sheetView tabSelected="1" topLeftCell="A33" zoomScale="60" workbookViewId="0">
      <selection activeCell="T41" sqref="T41"/>
    </sheetView>
  </sheetViews>
  <sheetFormatPr defaultColWidth="10.6640625" defaultRowHeight="16" x14ac:dyDescent="0.4"/>
  <cols>
    <col min="1" max="1" width="10.6640625" bestFit="1" customWidth="1"/>
    <col min="2" max="2" width="12.5" bestFit="1" customWidth="1"/>
    <col min="3" max="3" width="12.1640625" bestFit="1" customWidth="1"/>
    <col min="6" max="7" width="10.6640625" customWidth="1"/>
    <col min="8" max="8" width="16.25" bestFit="1" customWidth="1"/>
    <col min="10" max="10" width="13.58203125" bestFit="1" customWidth="1"/>
    <col min="11" max="11" width="11.5" bestFit="1" customWidth="1"/>
    <col min="13" max="13" width="12.6640625" bestFit="1" customWidth="1"/>
    <col min="16" max="16" width="12.33203125" bestFit="1" customWidth="1"/>
  </cols>
  <sheetData>
    <row r="1" spans="1:16" x14ac:dyDescent="0.4">
      <c r="A1" s="24" t="s">
        <v>45</v>
      </c>
      <c r="B1" s="25"/>
      <c r="C1" s="25"/>
      <c r="D1" s="25"/>
      <c r="E1" s="25"/>
      <c r="F1" s="25"/>
      <c r="G1" s="25"/>
      <c r="H1" s="25"/>
      <c r="I1" s="25"/>
      <c r="K1" s="27" t="s">
        <v>46</v>
      </c>
      <c r="L1" s="27"/>
      <c r="M1" s="27"/>
      <c r="N1" s="27"/>
      <c r="O1" s="27"/>
      <c r="P1" s="27"/>
    </row>
    <row r="2" spans="1:16" x14ac:dyDescent="0.4">
      <c r="A2" s="25"/>
      <c r="B2" s="25"/>
      <c r="C2" s="25"/>
      <c r="D2" s="25"/>
      <c r="E2" s="25"/>
      <c r="F2" s="25"/>
      <c r="G2" s="25"/>
      <c r="H2" s="25"/>
      <c r="I2" s="25"/>
      <c r="K2" s="27"/>
      <c r="L2" s="27"/>
      <c r="M2" s="27"/>
      <c r="N2" s="27"/>
      <c r="O2" s="27"/>
      <c r="P2" s="27"/>
    </row>
    <row r="3" spans="1:16" x14ac:dyDescent="0.4">
      <c r="A3" s="25"/>
      <c r="B3" s="25"/>
      <c r="C3" s="25"/>
      <c r="D3" s="25"/>
      <c r="E3" s="25"/>
      <c r="F3" s="25"/>
      <c r="G3" s="25"/>
      <c r="H3" s="25"/>
      <c r="I3" s="25"/>
      <c r="K3" s="27"/>
      <c r="L3" s="27"/>
      <c r="M3" s="27"/>
      <c r="N3" s="27"/>
      <c r="O3" s="27"/>
      <c r="P3" s="27"/>
    </row>
    <row r="4" spans="1:16" x14ac:dyDescent="0.4">
      <c r="A4" s="25"/>
      <c r="B4" s="25"/>
      <c r="C4" s="25"/>
      <c r="D4" s="25"/>
      <c r="E4" s="25"/>
      <c r="F4" s="25"/>
      <c r="G4" s="25"/>
      <c r="H4" s="25"/>
      <c r="I4" s="25"/>
      <c r="K4" s="27"/>
      <c r="L4" s="27"/>
      <c r="M4" s="27"/>
      <c r="N4" s="27"/>
      <c r="O4" s="27"/>
      <c r="P4" s="27"/>
    </row>
    <row r="6" spans="1:16" s="1" customFormat="1" x14ac:dyDescent="0.4">
      <c r="A6" s="2" t="s">
        <v>0</v>
      </c>
      <c r="B6" s="2" t="s">
        <v>15</v>
      </c>
      <c r="C6" s="2" t="s">
        <v>1</v>
      </c>
      <c r="D6" s="2" t="s">
        <v>2</v>
      </c>
      <c r="E6" s="2" t="s">
        <v>3</v>
      </c>
      <c r="F6" s="2" t="s">
        <v>4</v>
      </c>
      <c r="H6" s="2" t="s">
        <v>5</v>
      </c>
      <c r="I6" s="2" t="s">
        <v>13</v>
      </c>
      <c r="J6" s="3" t="s">
        <v>6</v>
      </c>
      <c r="K6" s="3" t="s">
        <v>9</v>
      </c>
      <c r="L6" s="3" t="s">
        <v>16</v>
      </c>
      <c r="M6" s="3" t="s">
        <v>17</v>
      </c>
      <c r="N6" s="3" t="s">
        <v>2</v>
      </c>
      <c r="O6" s="3" t="s">
        <v>3</v>
      </c>
      <c r="P6" s="3" t="s">
        <v>4</v>
      </c>
    </row>
    <row r="7" spans="1:16" x14ac:dyDescent="0.4">
      <c r="A7" s="5" t="s">
        <v>5</v>
      </c>
      <c r="B7" s="5" t="s">
        <v>6</v>
      </c>
      <c r="C7" s="6">
        <v>2.5</v>
      </c>
      <c r="D7" s="5" t="s">
        <v>7</v>
      </c>
      <c r="E7" s="5" t="s">
        <v>8</v>
      </c>
      <c r="F7" s="5">
        <v>13</v>
      </c>
      <c r="H7" s="8">
        <f>IF(A7="Lavender",1,0)</f>
        <v>1</v>
      </c>
      <c r="I7" s="8">
        <f>IF(A7="Mint",1,0)</f>
        <v>0</v>
      </c>
      <c r="J7" s="8">
        <f>IF(B7="Shea Butter",1,0)</f>
        <v>1</v>
      </c>
      <c r="K7" s="8">
        <f>IF(B7="Cocoa Butter",1,0)</f>
        <v>0</v>
      </c>
      <c r="L7" s="8">
        <f>IF(C7=2.5,1,0)</f>
        <v>1</v>
      </c>
      <c r="M7" s="8">
        <f>IF(C7=3,1,0)</f>
        <v>0</v>
      </c>
      <c r="N7" s="8">
        <f>IF(D7="Yes",1,0)</f>
        <v>1</v>
      </c>
      <c r="O7" s="8">
        <f>IF(E7="Natural",1,0)</f>
        <v>1</v>
      </c>
      <c r="P7" s="8">
        <f>MAX($F$7:$F$24)-F7+1</f>
        <v>6</v>
      </c>
    </row>
    <row r="8" spans="1:16" x14ac:dyDescent="0.4">
      <c r="A8" s="5" t="s">
        <v>5</v>
      </c>
      <c r="B8" s="5" t="s">
        <v>9</v>
      </c>
      <c r="C8" s="6">
        <v>3</v>
      </c>
      <c r="D8" s="5" t="s">
        <v>7</v>
      </c>
      <c r="E8" s="5" t="s">
        <v>10</v>
      </c>
      <c r="F8" s="5">
        <v>11</v>
      </c>
      <c r="H8" s="8">
        <f t="shared" ref="H8:H24" si="0">IF(A8="Lavender",1,0)</f>
        <v>1</v>
      </c>
      <c r="I8" s="8">
        <f t="shared" ref="I8:I24" si="1">IF(A8="Mint",1,0)</f>
        <v>0</v>
      </c>
      <c r="J8" s="8">
        <f t="shared" ref="J8:J24" si="2">IF(B8="Shea Butter",1,0)</f>
        <v>0</v>
      </c>
      <c r="K8" s="8">
        <f t="shared" ref="K8:K24" si="3">IF(B8="Cocoa Butter",1,0)</f>
        <v>1</v>
      </c>
      <c r="L8" s="8">
        <f t="shared" ref="L8:L24" si="4">IF(C8=2.5,1,0)</f>
        <v>0</v>
      </c>
      <c r="M8" s="8">
        <f t="shared" ref="M8:M24" si="5">IF(C8=3,1,0)</f>
        <v>1</v>
      </c>
      <c r="N8" s="8">
        <f t="shared" ref="N8:N24" si="6">IF(D8="Yes",1,0)</f>
        <v>1</v>
      </c>
      <c r="O8" s="8">
        <f t="shared" ref="O8:O24" si="7">IF(E8="Natural",1,0)</f>
        <v>0</v>
      </c>
      <c r="P8" s="8">
        <f t="shared" ref="P8:P24" si="8">MAX($F$7:$F$24)-F8+1</f>
        <v>8</v>
      </c>
    </row>
    <row r="9" spans="1:16" x14ac:dyDescent="0.4">
      <c r="A9" s="5" t="s">
        <v>5</v>
      </c>
      <c r="B9" s="5" t="s">
        <v>11</v>
      </c>
      <c r="C9" s="6">
        <v>3.5</v>
      </c>
      <c r="D9" s="5" t="s">
        <v>12</v>
      </c>
      <c r="E9" s="5" t="s">
        <v>8</v>
      </c>
      <c r="F9" s="5">
        <v>17</v>
      </c>
      <c r="H9" s="8">
        <f t="shared" si="0"/>
        <v>1</v>
      </c>
      <c r="I9" s="8">
        <f t="shared" si="1"/>
        <v>0</v>
      </c>
      <c r="J9" s="8">
        <f t="shared" si="2"/>
        <v>0</v>
      </c>
      <c r="K9" s="8">
        <f t="shared" si="3"/>
        <v>0</v>
      </c>
      <c r="L9" s="8">
        <f t="shared" si="4"/>
        <v>0</v>
      </c>
      <c r="M9" s="8">
        <f t="shared" si="5"/>
        <v>0</v>
      </c>
      <c r="N9" s="8">
        <f t="shared" si="6"/>
        <v>0</v>
      </c>
      <c r="O9" s="8">
        <f t="shared" si="7"/>
        <v>1</v>
      </c>
      <c r="P9" s="8">
        <f t="shared" si="8"/>
        <v>2</v>
      </c>
    </row>
    <row r="10" spans="1:16" x14ac:dyDescent="0.4">
      <c r="A10" s="5" t="s">
        <v>13</v>
      </c>
      <c r="B10" s="5" t="s">
        <v>6</v>
      </c>
      <c r="C10" s="6">
        <v>3</v>
      </c>
      <c r="D10" s="5" t="s">
        <v>12</v>
      </c>
      <c r="E10" s="5" t="s">
        <v>10</v>
      </c>
      <c r="F10" s="5">
        <v>2</v>
      </c>
      <c r="H10" s="8">
        <f t="shared" si="0"/>
        <v>0</v>
      </c>
      <c r="I10" s="8">
        <f t="shared" si="1"/>
        <v>1</v>
      </c>
      <c r="J10" s="8">
        <f t="shared" si="2"/>
        <v>1</v>
      </c>
      <c r="K10" s="8">
        <f t="shared" si="3"/>
        <v>0</v>
      </c>
      <c r="L10" s="8">
        <f t="shared" si="4"/>
        <v>0</v>
      </c>
      <c r="M10" s="8">
        <f t="shared" si="5"/>
        <v>1</v>
      </c>
      <c r="N10" s="8">
        <f t="shared" si="6"/>
        <v>0</v>
      </c>
      <c r="O10" s="8">
        <f t="shared" si="7"/>
        <v>0</v>
      </c>
      <c r="P10" s="8">
        <f t="shared" si="8"/>
        <v>17</v>
      </c>
    </row>
    <row r="11" spans="1:16" x14ac:dyDescent="0.4">
      <c r="A11" s="5" t="s">
        <v>13</v>
      </c>
      <c r="B11" s="5" t="s">
        <v>9</v>
      </c>
      <c r="C11" s="6">
        <v>3.5</v>
      </c>
      <c r="D11" s="5" t="s">
        <v>7</v>
      </c>
      <c r="E11" s="5" t="s">
        <v>8</v>
      </c>
      <c r="F11" s="5">
        <v>14</v>
      </c>
      <c r="H11" s="8">
        <f t="shared" si="0"/>
        <v>0</v>
      </c>
      <c r="I11" s="8">
        <f t="shared" si="1"/>
        <v>1</v>
      </c>
      <c r="J11" s="8">
        <f t="shared" si="2"/>
        <v>0</v>
      </c>
      <c r="K11" s="8">
        <f t="shared" si="3"/>
        <v>1</v>
      </c>
      <c r="L11" s="8">
        <f t="shared" si="4"/>
        <v>0</v>
      </c>
      <c r="M11" s="8">
        <f t="shared" si="5"/>
        <v>0</v>
      </c>
      <c r="N11" s="8">
        <f t="shared" si="6"/>
        <v>1</v>
      </c>
      <c r="O11" s="8">
        <f t="shared" si="7"/>
        <v>1</v>
      </c>
      <c r="P11" s="8">
        <f t="shared" si="8"/>
        <v>5</v>
      </c>
    </row>
    <row r="12" spans="1:16" x14ac:dyDescent="0.4">
      <c r="A12" s="5" t="s">
        <v>13</v>
      </c>
      <c r="B12" s="5" t="s">
        <v>11</v>
      </c>
      <c r="C12" s="6">
        <v>2.5</v>
      </c>
      <c r="D12" s="5" t="s">
        <v>7</v>
      </c>
      <c r="E12" s="5" t="s">
        <v>8</v>
      </c>
      <c r="F12" s="5">
        <v>3</v>
      </c>
      <c r="H12" s="8">
        <f t="shared" si="0"/>
        <v>0</v>
      </c>
      <c r="I12" s="8">
        <f t="shared" si="1"/>
        <v>1</v>
      </c>
      <c r="J12" s="8">
        <f t="shared" si="2"/>
        <v>0</v>
      </c>
      <c r="K12" s="8">
        <f t="shared" si="3"/>
        <v>0</v>
      </c>
      <c r="L12" s="8">
        <f t="shared" si="4"/>
        <v>1</v>
      </c>
      <c r="M12" s="8">
        <f t="shared" si="5"/>
        <v>0</v>
      </c>
      <c r="N12" s="8">
        <f t="shared" si="6"/>
        <v>1</v>
      </c>
      <c r="O12" s="8">
        <f t="shared" si="7"/>
        <v>1</v>
      </c>
      <c r="P12" s="8">
        <f t="shared" si="8"/>
        <v>16</v>
      </c>
    </row>
    <row r="13" spans="1:16" x14ac:dyDescent="0.4">
      <c r="A13" s="5" t="s">
        <v>14</v>
      </c>
      <c r="B13" s="5" t="s">
        <v>6</v>
      </c>
      <c r="C13" s="6">
        <v>3.5</v>
      </c>
      <c r="D13" s="5" t="s">
        <v>7</v>
      </c>
      <c r="E13" s="5" t="s">
        <v>10</v>
      </c>
      <c r="F13" s="5">
        <v>12</v>
      </c>
      <c r="H13" s="8">
        <f t="shared" si="0"/>
        <v>0</v>
      </c>
      <c r="I13" s="8">
        <f t="shared" si="1"/>
        <v>0</v>
      </c>
      <c r="J13" s="8">
        <f t="shared" si="2"/>
        <v>1</v>
      </c>
      <c r="K13" s="8">
        <f t="shared" si="3"/>
        <v>0</v>
      </c>
      <c r="L13" s="8">
        <f t="shared" si="4"/>
        <v>0</v>
      </c>
      <c r="M13" s="8">
        <f t="shared" si="5"/>
        <v>0</v>
      </c>
      <c r="N13" s="8">
        <f t="shared" si="6"/>
        <v>1</v>
      </c>
      <c r="O13" s="8">
        <f t="shared" si="7"/>
        <v>0</v>
      </c>
      <c r="P13" s="8">
        <f t="shared" si="8"/>
        <v>7</v>
      </c>
    </row>
    <row r="14" spans="1:16" x14ac:dyDescent="0.4">
      <c r="A14" s="5" t="s">
        <v>14</v>
      </c>
      <c r="B14" s="5" t="s">
        <v>9</v>
      </c>
      <c r="C14" s="6">
        <v>2.5</v>
      </c>
      <c r="D14" s="5" t="s">
        <v>12</v>
      </c>
      <c r="E14" s="5" t="s">
        <v>8</v>
      </c>
      <c r="F14" s="5">
        <v>7</v>
      </c>
      <c r="H14" s="8">
        <f t="shared" si="0"/>
        <v>0</v>
      </c>
      <c r="I14" s="8">
        <f t="shared" si="1"/>
        <v>0</v>
      </c>
      <c r="J14" s="8">
        <f t="shared" si="2"/>
        <v>0</v>
      </c>
      <c r="K14" s="8">
        <f t="shared" si="3"/>
        <v>1</v>
      </c>
      <c r="L14" s="8">
        <f t="shared" si="4"/>
        <v>1</v>
      </c>
      <c r="M14" s="8">
        <f t="shared" si="5"/>
        <v>0</v>
      </c>
      <c r="N14" s="8">
        <f t="shared" si="6"/>
        <v>0</v>
      </c>
      <c r="O14" s="8">
        <f t="shared" si="7"/>
        <v>1</v>
      </c>
      <c r="P14" s="8">
        <f t="shared" si="8"/>
        <v>12</v>
      </c>
    </row>
    <row r="15" spans="1:16" x14ac:dyDescent="0.4">
      <c r="A15" s="5" t="s">
        <v>14</v>
      </c>
      <c r="B15" s="5" t="s">
        <v>11</v>
      </c>
      <c r="C15" s="6">
        <v>3</v>
      </c>
      <c r="D15" s="5" t="s">
        <v>7</v>
      </c>
      <c r="E15" s="5" t="s">
        <v>8</v>
      </c>
      <c r="F15" s="5">
        <v>9</v>
      </c>
      <c r="H15" s="8">
        <f t="shared" si="0"/>
        <v>0</v>
      </c>
      <c r="I15" s="8">
        <f t="shared" si="1"/>
        <v>0</v>
      </c>
      <c r="J15" s="8">
        <f t="shared" si="2"/>
        <v>0</v>
      </c>
      <c r="K15" s="8">
        <f t="shared" si="3"/>
        <v>0</v>
      </c>
      <c r="L15" s="8">
        <f t="shared" si="4"/>
        <v>0</v>
      </c>
      <c r="M15" s="8">
        <f t="shared" si="5"/>
        <v>1</v>
      </c>
      <c r="N15" s="8">
        <f t="shared" si="6"/>
        <v>1</v>
      </c>
      <c r="O15" s="8">
        <f t="shared" si="7"/>
        <v>1</v>
      </c>
      <c r="P15" s="8">
        <f t="shared" si="8"/>
        <v>10</v>
      </c>
    </row>
    <row r="16" spans="1:16" x14ac:dyDescent="0.4">
      <c r="A16" s="5" t="s">
        <v>5</v>
      </c>
      <c r="B16" s="5" t="s">
        <v>6</v>
      </c>
      <c r="C16" s="6">
        <v>3.5</v>
      </c>
      <c r="D16" s="5" t="s">
        <v>12</v>
      </c>
      <c r="E16" s="5" t="s">
        <v>8</v>
      </c>
      <c r="F16" s="5">
        <v>18</v>
      </c>
      <c r="H16" s="8">
        <f t="shared" si="0"/>
        <v>1</v>
      </c>
      <c r="I16" s="8">
        <f t="shared" si="1"/>
        <v>0</v>
      </c>
      <c r="J16" s="8">
        <f t="shared" si="2"/>
        <v>1</v>
      </c>
      <c r="K16" s="8">
        <f t="shared" si="3"/>
        <v>0</v>
      </c>
      <c r="L16" s="8">
        <f t="shared" si="4"/>
        <v>0</v>
      </c>
      <c r="M16" s="8">
        <f t="shared" si="5"/>
        <v>0</v>
      </c>
      <c r="N16" s="8">
        <f t="shared" si="6"/>
        <v>0</v>
      </c>
      <c r="O16" s="8">
        <f t="shared" si="7"/>
        <v>1</v>
      </c>
      <c r="P16" s="8">
        <f t="shared" si="8"/>
        <v>1</v>
      </c>
    </row>
    <row r="17" spans="1:16" x14ac:dyDescent="0.4">
      <c r="A17" s="5" t="s">
        <v>5</v>
      </c>
      <c r="B17" s="5" t="s">
        <v>9</v>
      </c>
      <c r="C17" s="6">
        <v>2.5</v>
      </c>
      <c r="D17" s="5" t="s">
        <v>7</v>
      </c>
      <c r="E17" s="5" t="s">
        <v>10</v>
      </c>
      <c r="F17" s="5">
        <v>8</v>
      </c>
      <c r="H17" s="8">
        <f t="shared" si="0"/>
        <v>1</v>
      </c>
      <c r="I17" s="8">
        <f t="shared" si="1"/>
        <v>0</v>
      </c>
      <c r="J17" s="8">
        <f t="shared" si="2"/>
        <v>0</v>
      </c>
      <c r="K17" s="8">
        <f t="shared" si="3"/>
        <v>1</v>
      </c>
      <c r="L17" s="8">
        <f t="shared" si="4"/>
        <v>1</v>
      </c>
      <c r="M17" s="8">
        <f t="shared" si="5"/>
        <v>0</v>
      </c>
      <c r="N17" s="8">
        <f t="shared" si="6"/>
        <v>1</v>
      </c>
      <c r="O17" s="8">
        <f t="shared" si="7"/>
        <v>0</v>
      </c>
      <c r="P17" s="8">
        <f t="shared" si="8"/>
        <v>11</v>
      </c>
    </row>
    <row r="18" spans="1:16" x14ac:dyDescent="0.4">
      <c r="A18" s="5" t="s">
        <v>5</v>
      </c>
      <c r="B18" s="5" t="s">
        <v>11</v>
      </c>
      <c r="C18" s="6">
        <v>3</v>
      </c>
      <c r="D18" s="5" t="s">
        <v>7</v>
      </c>
      <c r="E18" s="5" t="s">
        <v>8</v>
      </c>
      <c r="F18" s="5">
        <v>15</v>
      </c>
      <c r="H18" s="8">
        <f t="shared" si="0"/>
        <v>1</v>
      </c>
      <c r="I18" s="8">
        <f t="shared" si="1"/>
        <v>0</v>
      </c>
      <c r="J18" s="8">
        <f t="shared" si="2"/>
        <v>0</v>
      </c>
      <c r="K18" s="8">
        <f t="shared" si="3"/>
        <v>0</v>
      </c>
      <c r="L18" s="8">
        <f t="shared" si="4"/>
        <v>0</v>
      </c>
      <c r="M18" s="8">
        <f t="shared" si="5"/>
        <v>1</v>
      </c>
      <c r="N18" s="8">
        <f t="shared" si="6"/>
        <v>1</v>
      </c>
      <c r="O18" s="8">
        <f t="shared" si="7"/>
        <v>1</v>
      </c>
      <c r="P18" s="8">
        <f t="shared" si="8"/>
        <v>4</v>
      </c>
    </row>
    <row r="19" spans="1:16" x14ac:dyDescent="0.4">
      <c r="A19" s="5" t="s">
        <v>13</v>
      </c>
      <c r="B19" s="5" t="s">
        <v>6</v>
      </c>
      <c r="C19" s="6">
        <v>2.5</v>
      </c>
      <c r="D19" s="5" t="s">
        <v>7</v>
      </c>
      <c r="E19" s="5" t="s">
        <v>8</v>
      </c>
      <c r="F19" s="5">
        <v>4</v>
      </c>
      <c r="H19" s="8">
        <f t="shared" si="0"/>
        <v>0</v>
      </c>
      <c r="I19" s="8">
        <f t="shared" si="1"/>
        <v>1</v>
      </c>
      <c r="J19" s="8">
        <f t="shared" si="2"/>
        <v>1</v>
      </c>
      <c r="K19" s="8">
        <f t="shared" si="3"/>
        <v>0</v>
      </c>
      <c r="L19" s="8">
        <f t="shared" si="4"/>
        <v>1</v>
      </c>
      <c r="M19" s="8">
        <f t="shared" si="5"/>
        <v>0</v>
      </c>
      <c r="N19" s="8">
        <f t="shared" si="6"/>
        <v>1</v>
      </c>
      <c r="O19" s="8">
        <f t="shared" si="7"/>
        <v>1</v>
      </c>
      <c r="P19" s="8">
        <f t="shared" si="8"/>
        <v>15</v>
      </c>
    </row>
    <row r="20" spans="1:16" x14ac:dyDescent="0.4">
      <c r="A20" s="5" t="s">
        <v>13</v>
      </c>
      <c r="B20" s="5" t="s">
        <v>9</v>
      </c>
      <c r="C20" s="6">
        <v>3</v>
      </c>
      <c r="D20" s="5" t="s">
        <v>12</v>
      </c>
      <c r="E20" s="5" t="s">
        <v>8</v>
      </c>
      <c r="F20" s="5">
        <v>6</v>
      </c>
      <c r="H20" s="8">
        <f t="shared" si="0"/>
        <v>0</v>
      </c>
      <c r="I20" s="8">
        <f t="shared" si="1"/>
        <v>1</v>
      </c>
      <c r="J20" s="8">
        <f t="shared" si="2"/>
        <v>0</v>
      </c>
      <c r="K20" s="8">
        <f t="shared" si="3"/>
        <v>1</v>
      </c>
      <c r="L20" s="8">
        <f t="shared" si="4"/>
        <v>0</v>
      </c>
      <c r="M20" s="8">
        <f t="shared" si="5"/>
        <v>1</v>
      </c>
      <c r="N20" s="8">
        <f t="shared" si="6"/>
        <v>0</v>
      </c>
      <c r="O20" s="8">
        <f t="shared" si="7"/>
        <v>1</v>
      </c>
      <c r="P20" s="8">
        <f t="shared" si="8"/>
        <v>13</v>
      </c>
    </row>
    <row r="21" spans="1:16" x14ac:dyDescent="0.4">
      <c r="A21" s="5" t="s">
        <v>13</v>
      </c>
      <c r="B21" s="5" t="s">
        <v>11</v>
      </c>
      <c r="C21" s="6">
        <v>3.5</v>
      </c>
      <c r="D21" s="5" t="s">
        <v>7</v>
      </c>
      <c r="E21" s="5" t="s">
        <v>10</v>
      </c>
      <c r="F21" s="5">
        <v>5</v>
      </c>
      <c r="H21" s="8">
        <f t="shared" si="0"/>
        <v>0</v>
      </c>
      <c r="I21" s="8">
        <f t="shared" si="1"/>
        <v>1</v>
      </c>
      <c r="J21" s="8">
        <f t="shared" si="2"/>
        <v>0</v>
      </c>
      <c r="K21" s="8">
        <f t="shared" si="3"/>
        <v>0</v>
      </c>
      <c r="L21" s="8">
        <f t="shared" si="4"/>
        <v>0</v>
      </c>
      <c r="M21" s="8">
        <f t="shared" si="5"/>
        <v>0</v>
      </c>
      <c r="N21" s="8">
        <f t="shared" si="6"/>
        <v>1</v>
      </c>
      <c r="O21" s="8">
        <f t="shared" si="7"/>
        <v>0</v>
      </c>
      <c r="P21" s="8">
        <f t="shared" si="8"/>
        <v>14</v>
      </c>
    </row>
    <row r="22" spans="1:16" x14ac:dyDescent="0.4">
      <c r="A22" s="5" t="s">
        <v>14</v>
      </c>
      <c r="B22" s="5" t="s">
        <v>6</v>
      </c>
      <c r="C22" s="6">
        <v>3</v>
      </c>
      <c r="D22" s="5" t="s">
        <v>7</v>
      </c>
      <c r="E22" s="5" t="s">
        <v>8</v>
      </c>
      <c r="F22" s="5">
        <v>10</v>
      </c>
      <c r="H22" s="8">
        <f t="shared" si="0"/>
        <v>0</v>
      </c>
      <c r="I22" s="8">
        <f t="shared" si="1"/>
        <v>0</v>
      </c>
      <c r="J22" s="8">
        <f t="shared" si="2"/>
        <v>1</v>
      </c>
      <c r="K22" s="8">
        <f t="shared" si="3"/>
        <v>0</v>
      </c>
      <c r="L22" s="8">
        <f t="shared" si="4"/>
        <v>0</v>
      </c>
      <c r="M22" s="8">
        <f t="shared" si="5"/>
        <v>1</v>
      </c>
      <c r="N22" s="8">
        <f t="shared" si="6"/>
        <v>1</v>
      </c>
      <c r="O22" s="8">
        <f t="shared" si="7"/>
        <v>1</v>
      </c>
      <c r="P22" s="8">
        <f t="shared" si="8"/>
        <v>9</v>
      </c>
    </row>
    <row r="23" spans="1:16" x14ac:dyDescent="0.4">
      <c r="A23" s="5" t="s">
        <v>14</v>
      </c>
      <c r="B23" s="5" t="s">
        <v>9</v>
      </c>
      <c r="C23" s="6">
        <v>3.5</v>
      </c>
      <c r="D23" s="5" t="s">
        <v>7</v>
      </c>
      <c r="E23" s="5" t="s">
        <v>8</v>
      </c>
      <c r="F23" s="5">
        <v>16</v>
      </c>
      <c r="H23" s="8">
        <f t="shared" si="0"/>
        <v>0</v>
      </c>
      <c r="I23" s="8">
        <f t="shared" si="1"/>
        <v>0</v>
      </c>
      <c r="J23" s="8">
        <f t="shared" si="2"/>
        <v>0</v>
      </c>
      <c r="K23" s="8">
        <f t="shared" si="3"/>
        <v>1</v>
      </c>
      <c r="L23" s="8">
        <f t="shared" si="4"/>
        <v>0</v>
      </c>
      <c r="M23" s="8">
        <f t="shared" si="5"/>
        <v>0</v>
      </c>
      <c r="N23" s="8">
        <f t="shared" si="6"/>
        <v>1</v>
      </c>
      <c r="O23" s="8">
        <f t="shared" si="7"/>
        <v>1</v>
      </c>
      <c r="P23" s="8">
        <f t="shared" si="8"/>
        <v>3</v>
      </c>
    </row>
    <row r="24" spans="1:16" x14ac:dyDescent="0.4">
      <c r="A24" s="5" t="s">
        <v>14</v>
      </c>
      <c r="B24" s="5" t="s">
        <v>11</v>
      </c>
      <c r="C24" s="6">
        <v>2.5</v>
      </c>
      <c r="D24" s="5" t="s">
        <v>12</v>
      </c>
      <c r="E24" s="5" t="s">
        <v>10</v>
      </c>
      <c r="F24" s="5">
        <v>1</v>
      </c>
      <c r="H24" s="8">
        <f t="shared" si="0"/>
        <v>0</v>
      </c>
      <c r="I24" s="8">
        <f t="shared" si="1"/>
        <v>0</v>
      </c>
      <c r="J24" s="8">
        <f t="shared" si="2"/>
        <v>0</v>
      </c>
      <c r="K24" s="8">
        <f t="shared" si="3"/>
        <v>0</v>
      </c>
      <c r="L24" s="8">
        <f t="shared" si="4"/>
        <v>1</v>
      </c>
      <c r="M24" s="8">
        <f t="shared" si="5"/>
        <v>0</v>
      </c>
      <c r="N24" s="8">
        <f t="shared" si="6"/>
        <v>0</v>
      </c>
      <c r="O24" s="8">
        <f t="shared" si="7"/>
        <v>0</v>
      </c>
      <c r="P24" s="8">
        <f t="shared" si="8"/>
        <v>18</v>
      </c>
    </row>
    <row r="26" spans="1:16" s="26" customFormat="1" x14ac:dyDescent="0.4"/>
    <row r="28" spans="1:16" x14ac:dyDescent="0.4">
      <c r="C28" s="22" t="s">
        <v>35</v>
      </c>
    </row>
    <row r="29" spans="1:16" x14ac:dyDescent="0.4">
      <c r="A29" s="20" t="s">
        <v>0</v>
      </c>
      <c r="B29" s="16" t="s">
        <v>5</v>
      </c>
      <c r="C29" s="4">
        <v>-4.4999999999999964</v>
      </c>
      <c r="D29" s="12"/>
      <c r="H29" t="s">
        <v>18</v>
      </c>
    </row>
    <row r="30" spans="1:16" ht="16.5" thickBot="1" x14ac:dyDescent="0.45">
      <c r="A30" s="17"/>
      <c r="B30" s="16" t="s">
        <v>13</v>
      </c>
      <c r="C30" s="4">
        <v>3.5</v>
      </c>
    </row>
    <row r="31" spans="1:16" x14ac:dyDescent="0.4">
      <c r="A31" s="17"/>
      <c r="B31" s="16" t="s">
        <v>14</v>
      </c>
      <c r="C31" s="4">
        <v>0</v>
      </c>
      <c r="H31" s="11" t="s">
        <v>19</v>
      </c>
      <c r="I31" s="11"/>
    </row>
    <row r="32" spans="1:16" x14ac:dyDescent="0.4">
      <c r="A32" s="21" t="s">
        <v>44</v>
      </c>
      <c r="B32" s="7"/>
      <c r="C32" s="19">
        <f>MAX(C29:C31)-MIN(C29:C31)</f>
        <v>7.9999999999999964</v>
      </c>
      <c r="H32" t="s">
        <v>20</v>
      </c>
      <c r="I32">
        <v>0.9915362498905026</v>
      </c>
    </row>
    <row r="33" spans="1:16" x14ac:dyDescent="0.4">
      <c r="A33" s="14"/>
      <c r="B33" s="13"/>
    </row>
    <row r="34" spans="1:16" x14ac:dyDescent="0.4">
      <c r="A34" s="21" t="s">
        <v>15</v>
      </c>
      <c r="B34" s="16" t="s">
        <v>6</v>
      </c>
      <c r="C34" s="4">
        <v>-1.4999999999999987</v>
      </c>
      <c r="H34" t="s">
        <v>21</v>
      </c>
      <c r="I34">
        <v>0.9831441348469212</v>
      </c>
    </row>
    <row r="35" spans="1:16" x14ac:dyDescent="0.4">
      <c r="A35" s="17"/>
      <c r="B35" s="16" t="s">
        <v>9</v>
      </c>
      <c r="C35" s="4">
        <v>-1.9999999999999998</v>
      </c>
      <c r="H35" t="s">
        <v>22</v>
      </c>
      <c r="I35">
        <v>0.96816114359973993</v>
      </c>
    </row>
    <row r="36" spans="1:16" x14ac:dyDescent="0.4">
      <c r="A36" s="17"/>
      <c r="B36" s="16" t="s">
        <v>11</v>
      </c>
      <c r="C36" s="4">
        <v>0</v>
      </c>
      <c r="H36" t="s">
        <v>23</v>
      </c>
      <c r="I36">
        <v>0.95257934441568026</v>
      </c>
    </row>
    <row r="37" spans="1:16" ht="16.5" thickBot="1" x14ac:dyDescent="0.45">
      <c r="A37" s="21" t="s">
        <v>44</v>
      </c>
      <c r="B37" s="7"/>
      <c r="C37" s="19">
        <f>MAX(C34:C36)-MIN(C34:C36)</f>
        <v>1.9999999999999998</v>
      </c>
      <c r="H37" s="9" t="s">
        <v>24</v>
      </c>
      <c r="I37" s="9">
        <v>18</v>
      </c>
    </row>
    <row r="38" spans="1:16" x14ac:dyDescent="0.4">
      <c r="A38" s="14"/>
      <c r="B38" s="13"/>
    </row>
    <row r="39" spans="1:16" x14ac:dyDescent="0.4">
      <c r="A39" s="21" t="s">
        <v>1</v>
      </c>
      <c r="B39" s="7">
        <v>2.5</v>
      </c>
      <c r="C39" s="4">
        <v>7.6666666666666661</v>
      </c>
    </row>
    <row r="40" spans="1:16" ht="16.5" thickBot="1" x14ac:dyDescent="0.45">
      <c r="A40" s="17"/>
      <c r="B40" s="7">
        <v>3</v>
      </c>
      <c r="C40" s="4">
        <v>4.8333333333333339</v>
      </c>
      <c r="H40" t="s">
        <v>25</v>
      </c>
    </row>
    <row r="41" spans="1:16" x14ac:dyDescent="0.4">
      <c r="A41" s="17"/>
      <c r="B41" s="7">
        <v>3.5</v>
      </c>
      <c r="C41" s="4">
        <v>0</v>
      </c>
      <c r="H41" s="10"/>
      <c r="I41" s="10" t="s">
        <v>30</v>
      </c>
      <c r="J41" s="10" t="s">
        <v>31</v>
      </c>
      <c r="K41" s="10" t="s">
        <v>32</v>
      </c>
      <c r="L41" s="10" t="s">
        <v>33</v>
      </c>
      <c r="M41" s="10" t="s">
        <v>34</v>
      </c>
    </row>
    <row r="42" spans="1:16" x14ac:dyDescent="0.4">
      <c r="A42" s="21" t="s">
        <v>44</v>
      </c>
      <c r="B42" s="7"/>
      <c r="C42" s="19">
        <f>MAX(C39:C41)-MIN(C39:C41)</f>
        <v>7.6666666666666661</v>
      </c>
      <c r="H42" s="15"/>
      <c r="I42" s="15"/>
      <c r="J42" s="15"/>
      <c r="K42" s="15"/>
      <c r="L42" s="15"/>
      <c r="M42" s="15"/>
    </row>
    <row r="43" spans="1:16" x14ac:dyDescent="0.4">
      <c r="A43" s="14"/>
      <c r="B43" s="13"/>
      <c r="H43" t="s">
        <v>26</v>
      </c>
      <c r="I43">
        <v>8</v>
      </c>
      <c r="J43">
        <v>476.33333333333331</v>
      </c>
      <c r="K43">
        <v>59.541666666666664</v>
      </c>
      <c r="L43">
        <v>65.617346938775526</v>
      </c>
      <c r="M43">
        <v>4.4924284112749445E-7</v>
      </c>
    </row>
    <row r="44" spans="1:16" x14ac:dyDescent="0.4">
      <c r="A44" s="21" t="s">
        <v>42</v>
      </c>
      <c r="B44" s="7" t="s">
        <v>7</v>
      </c>
      <c r="C44" s="4">
        <v>-1.4999999999999993</v>
      </c>
      <c r="H44" t="s">
        <v>27</v>
      </c>
      <c r="I44">
        <v>9</v>
      </c>
      <c r="J44">
        <v>8.1666666666666643</v>
      </c>
      <c r="K44">
        <v>0.90740740740740711</v>
      </c>
    </row>
    <row r="45" spans="1:16" ht="16.5" thickBot="1" x14ac:dyDescent="0.45">
      <c r="A45" s="17"/>
      <c r="B45" s="7" t="s">
        <v>12</v>
      </c>
      <c r="C45" s="4">
        <v>0</v>
      </c>
      <c r="H45" s="9" t="s">
        <v>28</v>
      </c>
      <c r="I45" s="9">
        <v>17</v>
      </c>
      <c r="J45" s="9">
        <v>484.5</v>
      </c>
      <c r="K45" s="9"/>
      <c r="L45" s="9"/>
      <c r="M45" s="9"/>
    </row>
    <row r="46" spans="1:16" x14ac:dyDescent="0.4">
      <c r="A46" s="21" t="s">
        <v>44</v>
      </c>
      <c r="B46" s="7"/>
      <c r="C46" s="19">
        <f>MAX(C43:C45)-MIN(C43:C45)</f>
        <v>1.4999999999999993</v>
      </c>
    </row>
    <row r="47" spans="1:16" ht="16.5" thickBot="1" x14ac:dyDescent="0.45">
      <c r="A47" s="14"/>
      <c r="B47" s="13"/>
    </row>
    <row r="48" spans="1:16" x14ac:dyDescent="0.4">
      <c r="A48" s="21" t="s">
        <v>3</v>
      </c>
      <c r="B48" s="7" t="s">
        <v>8</v>
      </c>
      <c r="C48" s="4">
        <v>-4.5</v>
      </c>
      <c r="H48" s="10"/>
      <c r="I48" s="10" t="s">
        <v>35</v>
      </c>
      <c r="J48" s="10" t="s">
        <v>23</v>
      </c>
      <c r="K48" s="10" t="s">
        <v>36</v>
      </c>
      <c r="L48" s="10" t="s">
        <v>37</v>
      </c>
      <c r="M48" s="10" t="s">
        <v>38</v>
      </c>
      <c r="N48" s="10" t="s">
        <v>39</v>
      </c>
      <c r="O48" s="10" t="s">
        <v>40</v>
      </c>
      <c r="P48" s="10" t="s">
        <v>41</v>
      </c>
    </row>
    <row r="49" spans="1:16" x14ac:dyDescent="0.4">
      <c r="A49" s="18"/>
      <c r="B49" s="7" t="s">
        <v>10</v>
      </c>
      <c r="C49" s="4">
        <v>0</v>
      </c>
      <c r="H49" t="s">
        <v>29</v>
      </c>
      <c r="I49">
        <v>10.833333333333332</v>
      </c>
      <c r="J49">
        <v>0.74466552825492938</v>
      </c>
      <c r="K49">
        <v>14.547918390583323</v>
      </c>
      <c r="L49">
        <v>1.4711329217329151E-7</v>
      </c>
      <c r="M49">
        <v>9.148782874702535</v>
      </c>
      <c r="N49">
        <v>12.517883791964129</v>
      </c>
      <c r="O49">
        <v>9.148782874702535</v>
      </c>
      <c r="P49">
        <v>12.517883791964129</v>
      </c>
    </row>
    <row r="50" spans="1:16" x14ac:dyDescent="0.4">
      <c r="A50" s="21" t="s">
        <v>44</v>
      </c>
      <c r="B50" s="4"/>
      <c r="C50" s="19">
        <f>MAX(C47:C49)-MIN(C47:C49)</f>
        <v>4.5</v>
      </c>
      <c r="H50" t="s">
        <v>5</v>
      </c>
      <c r="I50">
        <v>-4.4999999999999964</v>
      </c>
      <c r="J50">
        <v>0.54997194092287005</v>
      </c>
      <c r="K50">
        <v>-8.1822356108729046</v>
      </c>
      <c r="L50">
        <v>1.8481212302275977E-5</v>
      </c>
      <c r="M50">
        <v>-5.7441229654966985</v>
      </c>
      <c r="N50">
        <v>-3.2558770345032944</v>
      </c>
      <c r="O50">
        <v>-5.7441229654966985</v>
      </c>
      <c r="P50">
        <v>-3.2558770345032944</v>
      </c>
    </row>
    <row r="51" spans="1:16" x14ac:dyDescent="0.4">
      <c r="H51" t="s">
        <v>13</v>
      </c>
      <c r="I51">
        <v>3.5</v>
      </c>
      <c r="J51">
        <v>0.54997194092287016</v>
      </c>
      <c r="K51">
        <v>6.3639610306789294</v>
      </c>
      <c r="L51">
        <v>1.3070339329353088E-4</v>
      </c>
      <c r="M51">
        <v>2.2558770345032979</v>
      </c>
      <c r="N51">
        <v>4.7441229654967021</v>
      </c>
      <c r="O51">
        <v>2.2558770345032979</v>
      </c>
      <c r="P51">
        <v>4.7441229654967021</v>
      </c>
    </row>
    <row r="52" spans="1:16" ht="16" customHeight="1" x14ac:dyDescent="0.4">
      <c r="A52" s="23"/>
      <c r="B52" s="23"/>
      <c r="C52" s="23"/>
      <c r="D52" s="23"/>
      <c r="E52" s="23"/>
      <c r="F52" s="23"/>
      <c r="G52" s="23"/>
      <c r="H52" t="s">
        <v>6</v>
      </c>
      <c r="I52">
        <v>-1.4999999999999987</v>
      </c>
      <c r="J52">
        <v>0.54997194092287027</v>
      </c>
      <c r="K52">
        <v>-2.7274118702909669</v>
      </c>
      <c r="L52">
        <v>2.3323127679941939E-2</v>
      </c>
      <c r="M52">
        <v>-2.7441229654967012</v>
      </c>
      <c r="N52">
        <v>-0.25587703450329635</v>
      </c>
      <c r="O52">
        <v>-2.7441229654967012</v>
      </c>
      <c r="P52">
        <v>-0.25587703450329635</v>
      </c>
    </row>
    <row r="53" spans="1:16" x14ac:dyDescent="0.4">
      <c r="H53" t="s">
        <v>9</v>
      </c>
      <c r="I53">
        <v>-1.9999999999999998</v>
      </c>
      <c r="J53">
        <v>0.54997194092287016</v>
      </c>
      <c r="K53">
        <v>-3.6365491603879594</v>
      </c>
      <c r="L53">
        <v>5.429971037569062E-3</v>
      </c>
      <c r="M53">
        <v>-3.2441229654967021</v>
      </c>
      <c r="N53">
        <v>-0.75587703450329768</v>
      </c>
      <c r="O53">
        <v>-3.2441229654967021</v>
      </c>
      <c r="P53">
        <v>-0.75587703450329768</v>
      </c>
    </row>
    <row r="54" spans="1:16" x14ac:dyDescent="0.4">
      <c r="H54" t="s">
        <v>16</v>
      </c>
      <c r="I54">
        <v>7.6666666666666661</v>
      </c>
      <c r="J54">
        <v>0.54997194092287016</v>
      </c>
      <c r="K54">
        <v>13.940105114820511</v>
      </c>
      <c r="L54">
        <v>2.1282150960091372E-7</v>
      </c>
      <c r="M54">
        <v>6.422543701169964</v>
      </c>
      <c r="N54">
        <v>8.9107896321633682</v>
      </c>
      <c r="O54">
        <v>6.422543701169964</v>
      </c>
      <c r="P54">
        <v>8.9107896321633682</v>
      </c>
    </row>
    <row r="55" spans="1:16" x14ac:dyDescent="0.4">
      <c r="H55" t="s">
        <v>43</v>
      </c>
      <c r="I55">
        <v>4.8333333333333339</v>
      </c>
      <c r="J55">
        <v>0.54997194092287027</v>
      </c>
      <c r="K55">
        <v>8.7883271376042345</v>
      </c>
      <c r="L55">
        <v>1.0368876048699003E-5</v>
      </c>
      <c r="M55">
        <v>3.5892103678366318</v>
      </c>
      <c r="N55">
        <v>6.077456298830036</v>
      </c>
      <c r="O55">
        <v>3.5892103678366318</v>
      </c>
      <c r="P55">
        <v>6.077456298830036</v>
      </c>
    </row>
    <row r="56" spans="1:16" x14ac:dyDescent="0.4">
      <c r="H56" t="s">
        <v>42</v>
      </c>
      <c r="I56">
        <v>-1.4999999999999993</v>
      </c>
      <c r="J56">
        <v>0.47628967220784013</v>
      </c>
      <c r="K56">
        <v>-3.1493439550069424</v>
      </c>
      <c r="L56">
        <v>1.1749949516685078E-2</v>
      </c>
      <c r="M56">
        <v>-2.5774420935517739</v>
      </c>
      <c r="N56">
        <v>-0.42255790644822455</v>
      </c>
      <c r="O56">
        <v>-2.5774420935517739</v>
      </c>
      <c r="P56">
        <v>-0.42255790644822455</v>
      </c>
    </row>
    <row r="57" spans="1:16" ht="16.5" thickBot="1" x14ac:dyDescent="0.45">
      <c r="H57" s="9" t="s">
        <v>3</v>
      </c>
      <c r="I57" s="9">
        <v>-4.5000000000000009</v>
      </c>
      <c r="J57" s="9">
        <v>0.47628967220784013</v>
      </c>
      <c r="K57" s="9">
        <v>-9.4480318650208321</v>
      </c>
      <c r="L57" s="9">
        <v>5.7282254413805913E-6</v>
      </c>
      <c r="M57" s="9">
        <v>-5.5774420935517757</v>
      </c>
      <c r="N57" s="9">
        <v>-3.4225579064482261</v>
      </c>
      <c r="O57" s="9">
        <v>-5.5774420935517757</v>
      </c>
      <c r="P57" s="9">
        <v>-3.4225579064482261</v>
      </c>
    </row>
  </sheetData>
  <mergeCells count="3">
    <mergeCell ref="A1:I4"/>
    <mergeCell ref="A26:XFD26"/>
    <mergeCell ref="K1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Niharika C</cp:lastModifiedBy>
  <dcterms:created xsi:type="dcterms:W3CDTF">2026-09-16T05:10:45Z</dcterms:created>
  <dcterms:modified xsi:type="dcterms:W3CDTF">2026-09-20T07:04:05Z</dcterms:modified>
</cp:coreProperties>
</file>